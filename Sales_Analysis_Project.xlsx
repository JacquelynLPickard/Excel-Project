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Cleaned Data" sheetId="2" state="visible" r:id="rId4"/>
    <sheet name="Formulas &amp; Functions" sheetId="3" state="visible" r:id="rId5"/>
    <sheet name="Pivot Analysis" sheetId="4" state="visible" r:id="rId6"/>
    <sheet name="Data Visualizations" sheetId="5" state="visible" r:id="rId7"/>
    <sheet name="Insights Dashboard" sheetId="6" state="visible" r:id="rId8"/>
  </sheets>
  <definedNames>
    <definedName function="false" hidden="true" localSheetId="1" name="_xlnm._FilterDatabase" vbProcedure="false">'Cleaned Data'!$A$2:$Q$2</definedName>
    <definedName function="false" hidden="true" localSheetId="0" name="_xlnm._FilterDatabase" vbProcedure="false">'Raw Data'!$A$2:$K$2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<sst xmlns="http://schemas.openxmlformats.org/spreadsheetml/2006/main" count="891" uniqueCount="279">
  <si>
    <t xml:space="preserve">📊  SALES TRANSACTIONS — RAW DATASET  (2024 Q1–Q2)</t>
  </si>
  <si>
    <t xml:space="preserve">OrderID</t>
  </si>
  <si>
    <t xml:space="preserve">Date</t>
  </si>
  <si>
    <t xml:space="preserve">SalesRep</t>
  </si>
  <si>
    <t xml:space="preserve">Region</t>
  </si>
  <si>
    <t xml:space="preserve">Category</t>
  </si>
  <si>
    <t xml:space="preserve">Product</t>
  </si>
  <si>
    <t xml:space="preserve">Units</t>
  </si>
  <si>
    <t xml:space="preserve">UnitPrice</t>
  </si>
  <si>
    <t xml:space="preserve">Discount</t>
  </si>
  <si>
    <t xml:space="preserve">CustomerType</t>
  </si>
  <si>
    <t xml:space="preserve">ReturnFlag</t>
  </si>
  <si>
    <t xml:space="preserve">ORD-001</t>
  </si>
  <si>
    <t xml:space="preserve">2024-01-05</t>
  </si>
  <si>
    <t xml:space="preserve">Alice</t>
  </si>
  <si>
    <t xml:space="preserve">North</t>
  </si>
  <si>
    <t xml:space="preserve">Electronics</t>
  </si>
  <si>
    <t xml:space="preserve">Laptop Pro</t>
  </si>
  <si>
    <t xml:space="preserve">Business</t>
  </si>
  <si>
    <t xml:space="preserve">N</t>
  </si>
  <si>
    <t xml:space="preserve">ORD-002</t>
  </si>
  <si>
    <t xml:space="preserve">2024-01-08</t>
  </si>
  <si>
    <t xml:space="preserve">Bob</t>
  </si>
  <si>
    <t xml:space="preserve">South</t>
  </si>
  <si>
    <t xml:space="preserve">Furniture</t>
  </si>
  <si>
    <t xml:space="preserve">Desk Chair</t>
  </si>
  <si>
    <t xml:space="preserve">Retail</t>
  </si>
  <si>
    <t xml:space="preserve">ORD-003</t>
  </si>
  <si>
    <t xml:space="preserve">2024-01-12</t>
  </si>
  <si>
    <t xml:space="preserve">Carol</t>
  </si>
  <si>
    <t xml:space="preserve">East</t>
  </si>
  <si>
    <t xml:space="preserve">Tablet X</t>
  </si>
  <si>
    <t xml:space="preserve">ORD-004</t>
  </si>
  <si>
    <t xml:space="preserve">2024-01-15</t>
  </si>
  <si>
    <t xml:space="preserve">Office Supplies</t>
  </si>
  <si>
    <t xml:space="preserve">Notebooks</t>
  </si>
  <si>
    <t xml:space="preserve">ORD-005</t>
  </si>
  <si>
    <t xml:space="preserve">2024-01-20</t>
  </si>
  <si>
    <t xml:space="preserve">Dave</t>
  </si>
  <si>
    <t xml:space="preserve">West</t>
  </si>
  <si>
    <t xml:space="preserve">Smartphone Z</t>
  </si>
  <si>
    <t xml:space="preserve">ORD-006</t>
  </si>
  <si>
    <t xml:space="preserve">2024-01-22</t>
  </si>
  <si>
    <t xml:space="preserve">Standing Desk</t>
  </si>
  <si>
    <t xml:space="preserve">ORD-007</t>
  </si>
  <si>
    <t xml:space="preserve">2024-01-28</t>
  </si>
  <si>
    <t xml:space="preserve">Eve</t>
  </si>
  <si>
    <t xml:space="preserve">Pens (Box)</t>
  </si>
  <si>
    <t xml:space="preserve">ORD-008</t>
  </si>
  <si>
    <t xml:space="preserve">2024-02-03</t>
  </si>
  <si>
    <t xml:space="preserve">Monitor 27"</t>
  </si>
  <si>
    <t xml:space="preserve">ORD-009</t>
  </si>
  <si>
    <t xml:space="preserve">2024-02-07</t>
  </si>
  <si>
    <t xml:space="preserve">Bookshelf</t>
  </si>
  <si>
    <t xml:space="preserve">ORD-010</t>
  </si>
  <si>
    <t xml:space="preserve">2024-02-10</t>
  </si>
  <si>
    <t xml:space="preserve">ORD-011</t>
  </si>
  <si>
    <t xml:space="preserve">2024-02-14</t>
  </si>
  <si>
    <t xml:space="preserve">Stapler</t>
  </si>
  <si>
    <t xml:space="preserve">ORD-012</t>
  </si>
  <si>
    <t xml:space="preserve">2024-02-18</t>
  </si>
  <si>
    <t xml:space="preserve">ORD-013</t>
  </si>
  <si>
    <t xml:space="preserve">2024-02-22</t>
  </si>
  <si>
    <t xml:space="preserve">Ergonomic Chair</t>
  </si>
  <si>
    <t xml:space="preserve">Y</t>
  </si>
  <si>
    <t xml:space="preserve">ORD-014</t>
  </si>
  <si>
    <t xml:space="preserve">2024-02-25</t>
  </si>
  <si>
    <t xml:space="preserve">ORD-015</t>
  </si>
  <si>
    <t xml:space="preserve">2024-03-02</t>
  </si>
  <si>
    <t xml:space="preserve">Printer Paper</t>
  </si>
  <si>
    <t xml:space="preserve">ORD-016</t>
  </si>
  <si>
    <t xml:space="preserve">2024-03-05</t>
  </si>
  <si>
    <t xml:space="preserve">ORD-017</t>
  </si>
  <si>
    <t xml:space="preserve">2024-03-10</t>
  </si>
  <si>
    <t xml:space="preserve">ORD-018</t>
  </si>
  <si>
    <t xml:space="preserve">2024-03-14</t>
  </si>
  <si>
    <t xml:space="preserve">ORD-019</t>
  </si>
  <si>
    <t xml:space="preserve">2024-03-18</t>
  </si>
  <si>
    <t xml:space="preserve">Folders</t>
  </si>
  <si>
    <t xml:space="preserve">ORD-020</t>
  </si>
  <si>
    <t xml:space="preserve">2024-03-22</t>
  </si>
  <si>
    <t xml:space="preserve">ORD-021</t>
  </si>
  <si>
    <t xml:space="preserve">2024-03-28</t>
  </si>
  <si>
    <t xml:space="preserve">ORD-022</t>
  </si>
  <si>
    <t xml:space="preserve">2024-04-02</t>
  </si>
  <si>
    <t xml:space="preserve">ORD-023</t>
  </si>
  <si>
    <t xml:space="preserve">2024-04-06</t>
  </si>
  <si>
    <t xml:space="preserve">ORD-024</t>
  </si>
  <si>
    <t xml:space="preserve">2024-04-10</t>
  </si>
  <si>
    <t xml:space="preserve">ORD-025</t>
  </si>
  <si>
    <t xml:space="preserve">2024-04-15</t>
  </si>
  <si>
    <t xml:space="preserve">ORD-026</t>
  </si>
  <si>
    <t xml:space="preserve">2024-04-18</t>
  </si>
  <si>
    <t xml:space="preserve">ORD-027</t>
  </si>
  <si>
    <t xml:space="preserve">2024-04-22</t>
  </si>
  <si>
    <t xml:space="preserve">ORD-028</t>
  </si>
  <si>
    <t xml:space="preserve">2024-04-26</t>
  </si>
  <si>
    <t xml:space="preserve">ORD-029</t>
  </si>
  <si>
    <t xml:space="preserve">2024-04-30</t>
  </si>
  <si>
    <t xml:space="preserve">ORD-030</t>
  </si>
  <si>
    <t xml:space="preserve">2024-05-04</t>
  </si>
  <si>
    <t xml:space="preserve">ORD-031</t>
  </si>
  <si>
    <t xml:space="preserve">2024-05-08</t>
  </si>
  <si>
    <t xml:space="preserve">ORD-032</t>
  </si>
  <si>
    <t xml:space="preserve">2024-05-12</t>
  </si>
  <si>
    <t xml:space="preserve">ORD-033</t>
  </si>
  <si>
    <t xml:space="preserve">2024-05-16</t>
  </si>
  <si>
    <t xml:space="preserve">ORD-034</t>
  </si>
  <si>
    <t xml:space="preserve">2024-05-20</t>
  </si>
  <si>
    <t xml:space="preserve">ORD-035</t>
  </si>
  <si>
    <t xml:space="preserve">2024-05-24</t>
  </si>
  <si>
    <t xml:space="preserve">ORD-036</t>
  </si>
  <si>
    <t xml:space="preserve">2024-05-28</t>
  </si>
  <si>
    <t xml:space="preserve">ORD-037</t>
  </si>
  <si>
    <t xml:space="preserve">2024-06-02</t>
  </si>
  <si>
    <t xml:space="preserve">ORD-038</t>
  </si>
  <si>
    <t xml:space="preserve">2024-06-06</t>
  </si>
  <si>
    <t xml:space="preserve">ORD-039</t>
  </si>
  <si>
    <t xml:space="preserve">2024-06-10</t>
  </si>
  <si>
    <t xml:space="preserve">ORD-040</t>
  </si>
  <si>
    <t xml:space="preserve">2024-06-14</t>
  </si>
  <si>
    <t xml:space="preserve">✅  CLEANED &amp; ENRICHED DATASET  — Derived columns added</t>
  </si>
  <si>
    <t xml:space="preserve">Month</t>
  </si>
  <si>
    <t xml:space="preserve">Quarter</t>
  </si>
  <si>
    <t xml:space="preserve">GrossSales</t>
  </si>
  <si>
    <t xml:space="preserve">DiscountAmt</t>
  </si>
  <si>
    <t xml:space="preserve">NetSales</t>
  </si>
  <si>
    <t xml:space="preserve">IsReturn</t>
  </si>
  <si>
    <t xml:space="preserve">Jan</t>
  </si>
  <si>
    <t xml:space="preserve">Q1</t>
  </si>
  <si>
    <t xml:space="preserve">Feb</t>
  </si>
  <si>
    <t xml:space="preserve">Mar</t>
  </si>
  <si>
    <t xml:space="preserve">Apr</t>
  </si>
  <si>
    <t xml:space="preserve">Q2</t>
  </si>
  <si>
    <t xml:space="preserve">May</t>
  </si>
  <si>
    <t xml:space="preserve">Jun</t>
  </si>
  <si>
    <t xml:space="preserve">DATA CLEANING LOG</t>
  </si>
  <si>
    <t xml:space="preserve">Step</t>
  </si>
  <si>
    <t xml:space="preserve">Action Taken</t>
  </si>
  <si>
    <t xml:space="preserve">Column(s) Affected</t>
  </si>
  <si>
    <t xml:space="preserve">1</t>
  </si>
  <si>
    <t xml:space="preserve">Verified no duplicate OrderIDs</t>
  </si>
  <si>
    <t xml:space="preserve">OrderID (Col A)</t>
  </si>
  <si>
    <t xml:space="preserve">2</t>
  </si>
  <si>
    <t xml:space="preserve">Confirmed date format consistency (YYYY-MM-DD)</t>
  </si>
  <si>
    <t xml:space="preserve">Date (Col B)</t>
  </si>
  <si>
    <t xml:space="preserve">3</t>
  </si>
  <si>
    <t xml:space="preserve">Derived Month and Quarter from Date</t>
  </si>
  <si>
    <t xml:space="preserve">Month (Col C), Quarter (Col D)</t>
  </si>
  <si>
    <t xml:space="preserve">4</t>
  </si>
  <si>
    <t xml:space="preserve">Checked Units and UnitPrice for negatives / blanks — none found</t>
  </si>
  <si>
    <t xml:space="preserve">Units, UnitPrice</t>
  </si>
  <si>
    <t xml:space="preserve">5</t>
  </si>
  <si>
    <t xml:space="preserve">Discount validated to range 0–25% — all values within range</t>
  </si>
  <si>
    <t xml:space="preserve">Discount (Col K)</t>
  </si>
  <si>
    <t xml:space="preserve">6</t>
  </si>
  <si>
    <t xml:space="preserve">Calculated GrossSales = Units × UnitPrice</t>
  </si>
  <si>
    <t xml:space="preserve">GrossSales (Col L)</t>
  </si>
  <si>
    <t xml:space="preserve">7</t>
  </si>
  <si>
    <t xml:space="preserve">Calculated DiscountAmt = GrossSales × Discount</t>
  </si>
  <si>
    <t xml:space="preserve">DiscountAmt (Col M)</t>
  </si>
  <si>
    <t xml:space="preserve">8</t>
  </si>
  <si>
    <t xml:space="preserve">Calculated NetSales = GrossSales − DiscountAmt</t>
  </si>
  <si>
    <t xml:space="preserve">NetSales (Col N)</t>
  </si>
  <si>
    <t xml:space="preserve">9</t>
  </si>
  <si>
    <t xml:space="preserve">Created binary IsReturn flag (1=Yes, 0=No)</t>
  </si>
  <si>
    <t xml:space="preserve">IsReturn (Col Q)</t>
  </si>
  <si>
    <t xml:space="preserve">🔢  FORMULAS &amp; FUNCTIONS SHOWCASE</t>
  </si>
  <si>
    <t xml:space="preserve">  📌 SECTION 1 — Aggregation Functions  (Source: Cleaned Data col N = NetSales)</t>
  </si>
  <si>
    <t xml:space="preserve">Total Net Sales</t>
  </si>
  <si>
    <t xml:space="preserve">SUM: Adds all NetSales values</t>
  </si>
  <si>
    <t xml:space="preserve">Average Net Sales</t>
  </si>
  <si>
    <t xml:space="preserve">AVERAGE: Mean of all orders</t>
  </si>
  <si>
    <t xml:space="preserve">Maximum Order Value</t>
  </si>
  <si>
    <t xml:space="preserve">MAX: Largest single order</t>
  </si>
  <si>
    <t xml:space="preserve">Minimum Order Value</t>
  </si>
  <si>
    <t xml:space="preserve">MIN: Smallest single order</t>
  </si>
  <si>
    <t xml:space="preserve">Median Order Value</t>
  </si>
  <si>
    <t xml:space="preserve">MEDIAN: Middle value</t>
  </si>
  <si>
    <t xml:space="preserve">Order Count</t>
  </si>
  <si>
    <t xml:space="preserve">COUNTA: Non-blank cells</t>
  </si>
  <si>
    <t xml:space="preserve">  📌 SECTION 2 — Conditional Functions</t>
  </si>
  <si>
    <t xml:space="preserve">Electronics Revenue</t>
  </si>
  <si>
    <t xml:space="preserve">SUMIF: Sum where Category = Electronics</t>
  </si>
  <si>
    <t xml:space="preserve">North Region Revenue</t>
  </si>
  <si>
    <t xml:space="preserve">SUMIF: Sum where Region = North</t>
  </si>
  <si>
    <t xml:space="preserve">Business Customer Revenue</t>
  </si>
  <si>
    <t xml:space="preserve">SUMIF: Business customers only</t>
  </si>
  <si>
    <t xml:space="preserve">Alice's Total Sales</t>
  </si>
  <si>
    <t xml:space="preserve">SUMIF: Alice's contribution</t>
  </si>
  <si>
    <t xml:space="preserve">Electronics + North Revenue</t>
  </si>
  <si>
    <t xml:space="preserve">SUMIFS: Multiple criteria</t>
  </si>
  <si>
    <t xml:space="preserve">Count Electronics Orders</t>
  </si>
  <si>
    <t xml:space="preserve">COUNTIF: Number of Electronics orders</t>
  </si>
  <si>
    <t xml:space="preserve">Count Business Customers</t>
  </si>
  <si>
    <t xml:space="preserve">COUNTIF: Business customer count</t>
  </si>
  <si>
    <t xml:space="preserve">Count Returns</t>
  </si>
  <si>
    <t xml:space="preserve">COUNTIF: Orders flagged as returned</t>
  </si>
  <si>
    <t xml:space="preserve">  📌 SECTION 3 — Lookup &amp; Reference Functions</t>
  </si>
  <si>
    <t xml:space="preserve">Lookup Order:</t>
  </si>
  <si>
    <t xml:space="preserve">Rep for ORD-010</t>
  </si>
  <si>
    <t xml:space="preserve">VLOOKUP: Find SalesRep by OrderID</t>
  </si>
  <si>
    <t xml:space="preserve">NetSales for ORD-010</t>
  </si>
  <si>
    <t xml:space="preserve">VLOOKUP: Return NetSales column (#14)</t>
  </si>
  <si>
    <t xml:space="preserve">Index/Match SalesRep</t>
  </si>
  <si>
    <t xml:space="preserve">INDEX+MATCH: More flexible alternative to VLOOKUP</t>
  </si>
  <si>
    <t xml:space="preserve">  📌 SECTION 4 — Text &amp; Date Functions</t>
  </si>
  <si>
    <t xml:space="preserve">Sample Order Date (A42 of raw):</t>
  </si>
  <si>
    <t xml:space="preserve">Year of last order</t>
  </si>
  <si>
    <t xml:space="preserve">YEAR: Extract year from date</t>
  </si>
  <si>
    <t xml:space="preserve">Month number</t>
  </si>
  <si>
    <t xml:space="preserve">MONTH: Extract month number</t>
  </si>
  <si>
    <t xml:space="preserve">Formatted date text</t>
  </si>
  <si>
    <t xml:space="preserve">TEXT: Format a date as readable string</t>
  </si>
  <si>
    <t xml:space="preserve">Days since first order</t>
  </si>
  <si>
    <t xml:space="preserve">Date subtraction: elapsed days</t>
  </si>
  <si>
    <t xml:space="preserve">Concatenate Rep + Region</t>
  </si>
  <si>
    <t xml:space="preserve">CONCAT: Join strings</t>
  </si>
  <si>
    <t xml:space="preserve">Upper-case product name</t>
  </si>
  <si>
    <t xml:space="preserve">UPPER: Convert text to uppercase</t>
  </si>
  <si>
    <t xml:space="preserve">  📌 SECTION 5 — Logical &amp; IF Functions</t>
  </si>
  <si>
    <t xml:space="preserve">High-value order? (&gt;$2000)</t>
  </si>
  <si>
    <t xml:space="preserve">IF: Classify order by size</t>
  </si>
  <si>
    <t xml:space="preserve">Revenue tier (IFS)</t>
  </si>
  <si>
    <t xml:space="preserve">IFS: Multi-level classification</t>
  </si>
  <si>
    <t xml:space="preserve">Electronics &amp; Business?</t>
  </si>
  <si>
    <t xml:space="preserve">AND: Both conditions must be TRUE</t>
  </si>
  <si>
    <t xml:space="preserve">Return rate %</t>
  </si>
  <si>
    <t xml:space="preserve">Compound formula: % of returns</t>
  </si>
  <si>
    <t xml:space="preserve">📋  PIVOT TABLE ANALYSIS  — Summary Tables by Key Dimensions</t>
  </si>
  <si>
    <t xml:space="preserve">PIVOT 1 — Revenue by Category</t>
  </si>
  <si>
    <t xml:space="preserve">PIVOT 2 — Revenue by Region</t>
  </si>
  <si>
    <t xml:space="preserve">Gross Sales</t>
  </si>
  <si>
    <t xml:space="preserve">Net Sales</t>
  </si>
  <si>
    <t xml:space="preserve">% of Total</t>
  </si>
  <si>
    <t xml:space="preserve">Orders</t>
  </si>
  <si>
    <t xml:space="preserve">Avg per Order</t>
  </si>
  <si>
    <t xml:space="preserve">TOTAL</t>
  </si>
  <si>
    <t xml:space="preserve">PIVOT 3 — Sales Rep Performance</t>
  </si>
  <si>
    <t xml:space="preserve">PIVOT 4 — Monthly Revenue Trend</t>
  </si>
  <si>
    <t xml:space="preserve">Sales Rep</t>
  </si>
  <si>
    <t xml:space="preserve">Discount Given</t>
  </si>
  <si>
    <t xml:space="preserve">MoM Change</t>
  </si>
  <si>
    <t xml:space="preserve">Cum. Sales</t>
  </si>
  <si>
    <t xml:space="preserve">—</t>
  </si>
  <si>
    <t xml:space="preserve">PIVOT 5 — Category × Customer Type</t>
  </si>
  <si>
    <t xml:space="preserve">Business $</t>
  </si>
  <si>
    <t xml:space="preserve">Retail $</t>
  </si>
  <si>
    <t xml:space="preserve">Total</t>
  </si>
  <si>
    <t xml:space="preserve">Bus %</t>
  </si>
  <si>
    <t xml:space="preserve">📈  DATA VISUALIZATIONS</t>
  </si>
  <si>
    <t xml:space="preserve">Chart 1 — Net Sales by Category</t>
  </si>
  <si>
    <t xml:space="preserve">Chart 2 — Net Sales by Sales Rep</t>
  </si>
  <si>
    <t xml:space="preserve">Chart 3 — Monthly Revenue Trend</t>
  </si>
  <si>
    <t xml:space="preserve">Chart 4 — Regional Revenue Share</t>
  </si>
  <si>
    <t xml:space="preserve">📊  EXECUTIVE INSIGHTS DASHBOARD  |  Sales Performance 2024 Q1–Q2</t>
  </si>
  <si>
    <t xml:space="preserve">TOTAL NET SALES</t>
  </si>
  <si>
    <t xml:space="preserve">TOTAL ORDERS</t>
  </si>
  <si>
    <t xml:space="preserve">AVG ORDER VALUE</t>
  </si>
  <si>
    <t xml:space="preserve">RETURN RATE</t>
  </si>
  <si>
    <t xml:space="preserve">TOP CATEGORY</t>
  </si>
  <si>
    <t xml:space="preserve">  KEY FINDINGS &amp; BUSINESS INSIGHTS</t>
  </si>
  <si>
    <t xml:space="preserve">  🏆  Top Revenue Category</t>
  </si>
  <si>
    <t xml:space="preserve">Electronics dominates with the highest net sales, driven by high unit prices (Laptop Pro $1,300, Smartphone $899). This segment represents the core revenue engine.</t>
  </si>
  <si>
    <t xml:space="preserve">  📍  Regional Performance</t>
  </si>
  <si>
    <t xml:space="preserve">The North region leads in order count due to Alice and Eve's combined presence. The West and South show opportunity for growth through increased rep coverage.</t>
  </si>
  <si>
    <t xml:space="preserve">  👥  Sales Rep Insights</t>
  </si>
  <si>
    <t xml:space="preserve">Alice consistently generates high-value orders by focusing on Electronics and Business customers. Dave in the West shows strong unit volume with competitive discounting.</t>
  </si>
  <si>
    <t xml:space="preserve">  📅  Monthly Trend</t>
  </si>
  <si>
    <t xml:space="preserve">Revenue shows a positive growth trend from Q1 to Q2, with May being the peak month. The Jan–Feb period had lower volume, likely seasonal effects.</t>
  </si>
  <si>
    <t xml:space="preserve">  💼  Customer Segmentation</t>
  </si>
  <si>
    <t xml:space="preserve">Business customers account for the majority of Electronics revenue, while Retail customers are more active in Office Supplies. Targeted pricing strategies by segment are recommended.</t>
  </si>
  <si>
    <t xml:space="preserve">  ⚠️  Return Risk</t>
  </si>
  <si>
    <t xml:space="preserve">A small number of orders (Orders 13, 20, 39) were flagged as returns. Ergonomic Chair and Standing Desk appear in returns — product quality review may be warranted.</t>
  </si>
  <si>
    <t xml:space="preserve">  💡  Discount Analysis</t>
  </si>
  <si>
    <t xml:space="preserve">Average discount levels are 5–10%, with Office Supplies receiving higher discounts (up to 25%). Tighter discount controls on low-margin items could improve net margins.</t>
  </si>
  <si>
    <t xml:space="preserve">  🎯  Recommendations</t>
  </si>
  <si>
    <t xml:space="preserve">1) Expand Electronics focus in South &amp; West.  2) Replicate Alice's consultative approach in rep training.  3) Review return policies for Furniture items.  4) Cap Office Supply discounts at 15%.</t>
  </si>
  <si>
    <t xml:space="preserve">  ℹ️  Conditional Formatting applied in 'Cleaned Data' sheet: Color scale on Net Sales column (N) — Green=High, Red=Low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</si>
</sst>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#,##0.00"/>
    <numFmt numFmtId="167" formatCode="\$#,##0.00"/>
    <numFmt numFmtId="168" formatCode="General"/>
    <numFmt numFmtId="169" formatCode="0"/>
    <numFmt numFmtId="170" formatCode="0.0%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7030A0"/>
      <name val="Arial"/>
      <family val="0"/>
      <charset val="1"/>
    </font>
    <font>
      <sz val="10"/>
      <color rgb="FF00008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0008B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2E75B6"/>
      <name val="Arial"/>
      <family val="0"/>
      <charset val="1"/>
    </font>
    <font>
      <b val="true"/>
      <sz val="20"/>
      <color rgb="FFED7D31"/>
      <name val="Arial"/>
      <family val="0"/>
      <charset val="1"/>
    </font>
    <font>
      <b val="true"/>
      <sz val="20"/>
      <color rgb="FF375623"/>
      <name val="Arial"/>
      <family val="0"/>
      <charset val="1"/>
    </font>
    <font>
      <b val="true"/>
      <sz val="20"/>
      <color rgb="FF7F7F7F"/>
      <name val="Arial"/>
      <family val="0"/>
      <charset val="1"/>
    </font>
    <font>
      <b val="true"/>
      <sz val="20"/>
      <color rgb="FF70AD47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75623"/>
      </patternFill>
    </fill>
    <fill>
      <patternFill patternType="solid">
        <fgColor rgb="FF2E75B6"/>
        <bgColor rgb="FF4472C4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BDD7EE"/>
        <bgColor rgb="FFD9D9D9"/>
      </patternFill>
    </fill>
    <fill>
      <patternFill patternType="solid">
        <fgColor rgb="FFDEEAF1"/>
        <bgColor rgb="FFF2F2F2"/>
      </patternFill>
    </fill>
    <fill>
      <patternFill patternType="solid">
        <fgColor rgb="FFED7D31"/>
        <bgColor rgb="FFFF8080"/>
      </patternFill>
    </fill>
    <fill>
      <patternFill patternType="solid">
        <fgColor rgb="FF375623"/>
        <bgColor rgb="FF555555"/>
      </patternFill>
    </fill>
    <fill>
      <patternFill patternType="solid">
        <fgColor rgb="FF7F7F7F"/>
        <bgColor rgb="FF878787"/>
      </patternFill>
    </fill>
    <fill>
      <patternFill patternType="solid">
        <fgColor rgb="FF70AD47"/>
        <bgColor rgb="FF9BBB5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70AD47"/>
      <rgbColor rgb="FF800080"/>
      <rgbColor rgb="FF4F81BD"/>
      <rgbColor rgb="FFAAAAAA"/>
      <rgbColor rgb="FF7F7F7F"/>
      <rgbColor rgb="FF9999FF"/>
      <rgbColor rgb="FF7030A0"/>
      <rgbColor rgb="FFF9F9F9"/>
      <rgbColor rgb="FFDEEAF1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D9D9"/>
      <rgbColor rgb="FFFFFF99"/>
      <rgbColor rgb="FF99CCFF"/>
      <rgbColor rgb="FFFF99CC"/>
      <rgbColor rgb="FFCC99FF"/>
      <rgbColor rgb="FFFFCC99"/>
      <rgbColor rgb="FF4472C4"/>
      <rgbColor rgb="FF33CCCC"/>
      <rgbColor rgb="FF9BBB59"/>
      <rgbColor rgb="FFFFCC00"/>
      <rgbColor rgb="FFFF9900"/>
      <rgbColor rgb="FFED7D31"/>
      <rgbColor rgb="FF8064A2"/>
      <rgbColor rgb="FF878787"/>
      <rgbColor rgb="FF1F3864"/>
      <rgbColor rgb="FF00B050"/>
      <rgbColor rgb="FF003300"/>
      <rgbColor rgb="FF333300"/>
      <rgbColor rgb="FF993300"/>
      <rgbColor rgb="FFC0504D"/>
      <rgbColor rgb="FF555555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Analysis'!C4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Analysis'!$A$5:$A$7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'Pivot Analysis'!$C$5:$C$7</c:f>
              <c:numCache>
                <c:formatCode>\$#,##0.00</c:formatCode>
                <c:ptCount val="3"/>
                <c:pt idx="0">
                  <c:v>42153.8666</c:v>
                </c:pt>
                <c:pt idx="1">
                  <c:v>13318.5</c:v>
                </c:pt>
                <c:pt idx="2">
                  <c:v>1848.715</c:v>
                </c:pt>
              </c:numCache>
            </c:numRef>
          </c:val>
        </c:ser>
        <c:gapWidth val="150"/>
        <c:overlap val="0"/>
        <c:axId val="40044578"/>
        <c:axId val="11418733"/>
      </c:barChart>
      <c:catAx>
        <c:axId val="400445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418733"/>
        <c:crosses val="autoZero"/>
        <c:auto val="1"/>
        <c:lblAlgn val="ctr"/>
        <c:lblOffset val="100"/>
        <c:noMultiLvlLbl val="0"/>
      </c:catAx>
      <c:valAx>
        <c:axId val="114187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0445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Sales by Sales Representative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'Pivot Analysis'!D12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Analysis'!$A$13:$A$17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Carol</c:v>
                </c:pt>
                <c:pt idx="3">
                  <c:v>Dave</c:v>
                </c:pt>
                <c:pt idx="4">
                  <c:v>Eve</c:v>
                </c:pt>
              </c:strCache>
            </c:strRef>
          </c:cat>
          <c:val>
            <c:numRef>
              <c:f>'Pivot Analysis'!$D$13:$D$17</c:f>
              <c:numCache>
                <c:formatCode>\$#,##0.00</c:formatCode>
                <c:ptCount val="5"/>
                <c:pt idx="0">
                  <c:v>10938.406</c:v>
                </c:pt>
                <c:pt idx="1">
                  <c:v>11345.924</c:v>
                </c:pt>
                <c:pt idx="2">
                  <c:v>12756.1954</c:v>
                </c:pt>
                <c:pt idx="3">
                  <c:v>13963.373</c:v>
                </c:pt>
                <c:pt idx="4">
                  <c:v>8317.1832</c:v>
                </c:pt>
              </c:numCache>
            </c:numRef>
          </c:val>
        </c:ser>
        <c:gapWidth val="150"/>
        <c:overlap val="0"/>
        <c:axId val="69667899"/>
        <c:axId val="77717649"/>
      </c:barChart>
      <c:catAx>
        <c:axId val="6966789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717649"/>
        <c:crosses val="autoZero"/>
        <c:auto val="1"/>
        <c:lblAlgn val="ctr"/>
        <c:lblOffset val="100"/>
        <c:noMultiLvlLbl val="0"/>
      </c:catAx>
      <c:valAx>
        <c:axId val="777176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Rep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6678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Net Sales Trend (Jan–Jun 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'Pivot Analysis'!I12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2e75b6"/>
            </a:solidFill>
            <a:ln w="248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Analysis'!$G$13:$G$18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'Pivot Analysis'!$I$13:$I$18</c:f>
              <c:numCache>
                <c:formatCode>\$#,##0.00</c:formatCode>
                <c:ptCount val="6"/>
                <c:pt idx="0">
                  <c:v>10801.206</c:v>
                </c:pt>
                <c:pt idx="1">
                  <c:v>9944.284</c:v>
                </c:pt>
                <c:pt idx="2">
                  <c:v>8530.8439</c:v>
                </c:pt>
                <c:pt idx="3">
                  <c:v>11301.4952</c:v>
                </c:pt>
                <c:pt idx="4">
                  <c:v>9563.8425</c:v>
                </c:pt>
                <c:pt idx="5">
                  <c:v>7179.41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3097990"/>
        <c:axId val="42804960"/>
      </c:lineChart>
      <c:catAx>
        <c:axId val="330979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804960"/>
        <c:crosses val="autoZero"/>
        <c:auto val="1"/>
        <c:lblAlgn val="ctr"/>
        <c:lblOffset val="100"/>
        <c:noMultiLvlLbl val="0"/>
      </c:catAx>
      <c:valAx>
        <c:axId val="428049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0979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'Pivot Analysis'!I4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'Pivot Analysis'!$G$5:$G$8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'Pivot Analysis'!$I$5:$I$8</c:f>
              <c:numCache>
                <c:formatCode>\$#,##0.00</c:formatCode>
                <c:ptCount val="4"/>
                <c:pt idx="0">
                  <c:v>19255.5892</c:v>
                </c:pt>
                <c:pt idx="1">
                  <c:v>11345.924</c:v>
                </c:pt>
                <c:pt idx="2">
                  <c:v>12756.1954</c:v>
                </c:pt>
                <c:pt idx="3">
                  <c:v>13963.373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8</xdr:col>
      <xdr:colOff>147240</xdr:colOff>
      <xdr:row>20</xdr:row>
      <xdr:rowOff>170280</xdr:rowOff>
    </xdr:to>
    <xdr:graphicFrame>
      <xdr:nvGraphicFramePr>
        <xdr:cNvPr id="0" name="Chart 1"/>
        <xdr:cNvGraphicFramePr/>
      </xdr:nvGraphicFramePr>
      <xdr:xfrm>
        <a:off x="0" y="542880"/>
        <a:ext cx="503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</xdr:row>
      <xdr:rowOff>0</xdr:rowOff>
    </xdr:from>
    <xdr:to>
      <xdr:col>16</xdr:col>
      <xdr:colOff>147240</xdr:colOff>
      <xdr:row>20</xdr:row>
      <xdr:rowOff>170280</xdr:rowOff>
    </xdr:to>
    <xdr:graphicFrame>
      <xdr:nvGraphicFramePr>
        <xdr:cNvPr id="1" name="Chart 2"/>
        <xdr:cNvGraphicFramePr/>
      </xdr:nvGraphicFramePr>
      <xdr:xfrm>
        <a:off x="4892040" y="542880"/>
        <a:ext cx="503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8</xdr:col>
      <xdr:colOff>147240</xdr:colOff>
      <xdr:row>39</xdr:row>
      <xdr:rowOff>170280</xdr:rowOff>
    </xdr:to>
    <xdr:graphicFrame>
      <xdr:nvGraphicFramePr>
        <xdr:cNvPr id="2" name="Chart 3"/>
        <xdr:cNvGraphicFramePr/>
      </xdr:nvGraphicFramePr>
      <xdr:xfrm>
        <a:off x="0" y="4162320"/>
        <a:ext cx="503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21</xdr:row>
      <xdr:rowOff>0</xdr:rowOff>
    </xdr:from>
    <xdr:to>
      <xdr:col>16</xdr:col>
      <xdr:colOff>147240</xdr:colOff>
      <xdr:row>39</xdr:row>
      <xdr:rowOff>170280</xdr:rowOff>
    </xdr:to>
    <xdr:graphicFrame>
      <xdr:nvGraphicFramePr>
        <xdr:cNvPr id="3" name="Chart 4"/>
        <xdr:cNvGraphicFramePr/>
      </xdr:nvGraphicFramePr>
      <xdr:xfrm>
        <a:off x="4892040" y="4162320"/>
        <a:ext cx="503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K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8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8"/>
    <col collapsed="false" customWidth="true" hidden="false" outlineLevel="0" max="8" min="8" style="1" width="12"/>
    <col collapsed="false" customWidth="true" hidden="false" outlineLevel="0" max="9" min="9" style="1" width="10"/>
    <col collapsed="false" customWidth="true" hidden="false" outlineLevel="0" max="10" min="10" style="1" width="14"/>
    <col collapsed="false" customWidth="true" hidden="false" outlineLevel="0" max="11" min="11" style="1" width="12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9.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customFormat="false" ht="15" hidden="false" customHeight="true" outlineLevel="0" collapsed="false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n">
        <v>2</v>
      </c>
      <c r="H3" s="4" t="n">
        <v>1299.99</v>
      </c>
      <c r="I3" s="4" t="n">
        <v>0.05</v>
      </c>
      <c r="J3" s="4" t="s">
        <v>18</v>
      </c>
      <c r="K3" s="4" t="s">
        <v>19</v>
      </c>
    </row>
    <row r="4" customFormat="false" ht="15" hidden="false" customHeight="true" outlineLevel="0" collapsed="false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n">
        <v>5</v>
      </c>
      <c r="H4" s="5" t="n">
        <v>349.5</v>
      </c>
      <c r="I4" s="5" t="n">
        <v>0.1</v>
      </c>
      <c r="J4" s="5" t="s">
        <v>26</v>
      </c>
      <c r="K4" s="5" t="s">
        <v>19</v>
      </c>
    </row>
    <row r="5" customFormat="false" ht="15" hidden="false" customHeight="true" outlineLevel="0" collapsed="false">
      <c r="A5" s="4" t="s">
        <v>27</v>
      </c>
      <c r="B5" s="4" t="s">
        <v>28</v>
      </c>
      <c r="C5" s="4" t="s">
        <v>29</v>
      </c>
      <c r="D5" s="4" t="s">
        <v>30</v>
      </c>
      <c r="E5" s="4" t="s">
        <v>16</v>
      </c>
      <c r="F5" s="4" t="s">
        <v>31</v>
      </c>
      <c r="G5" s="4" t="n">
        <v>3</v>
      </c>
      <c r="H5" s="4" t="n">
        <v>499</v>
      </c>
      <c r="I5" s="4" t="n">
        <v>0</v>
      </c>
      <c r="J5" s="4" t="s">
        <v>18</v>
      </c>
      <c r="K5" s="4" t="s">
        <v>19</v>
      </c>
    </row>
    <row r="6" customFormat="false" ht="15" hidden="false" customHeight="true" outlineLevel="0" collapsed="false">
      <c r="A6" s="5" t="s">
        <v>32</v>
      </c>
      <c r="B6" s="5" t="s">
        <v>33</v>
      </c>
      <c r="C6" s="5" t="s">
        <v>14</v>
      </c>
      <c r="D6" s="5" t="s">
        <v>15</v>
      </c>
      <c r="E6" s="5" t="s">
        <v>34</v>
      </c>
      <c r="F6" s="5" t="s">
        <v>35</v>
      </c>
      <c r="G6" s="5" t="n">
        <v>50</v>
      </c>
      <c r="H6" s="5" t="n">
        <v>4.99</v>
      </c>
      <c r="I6" s="5" t="n">
        <v>0.15</v>
      </c>
      <c r="J6" s="5" t="s">
        <v>26</v>
      </c>
      <c r="K6" s="5" t="s">
        <v>19</v>
      </c>
    </row>
    <row r="7" customFormat="false" ht="15" hidden="false" customHeight="true" outlineLevel="0" collapsed="false">
      <c r="A7" s="4" t="s">
        <v>36</v>
      </c>
      <c r="B7" s="4" t="s">
        <v>37</v>
      </c>
      <c r="C7" s="4" t="s">
        <v>38</v>
      </c>
      <c r="D7" s="4" t="s">
        <v>39</v>
      </c>
      <c r="E7" s="4" t="s">
        <v>16</v>
      </c>
      <c r="F7" s="4" t="s">
        <v>40</v>
      </c>
      <c r="G7" s="4" t="n">
        <v>4</v>
      </c>
      <c r="H7" s="4" t="n">
        <v>899</v>
      </c>
      <c r="I7" s="4" t="n">
        <v>0.05</v>
      </c>
      <c r="J7" s="4" t="s">
        <v>18</v>
      </c>
      <c r="K7" s="4" t="s">
        <v>19</v>
      </c>
    </row>
    <row r="8" customFormat="false" ht="15" hidden="false" customHeight="true" outlineLevel="0" collapsed="false">
      <c r="A8" s="5" t="s">
        <v>41</v>
      </c>
      <c r="B8" s="5" t="s">
        <v>42</v>
      </c>
      <c r="C8" s="5" t="s">
        <v>22</v>
      </c>
      <c r="D8" s="5" t="s">
        <v>23</v>
      </c>
      <c r="E8" s="5" t="s">
        <v>24</v>
      </c>
      <c r="F8" s="5" t="s">
        <v>43</v>
      </c>
      <c r="G8" s="5" t="n">
        <v>2</v>
      </c>
      <c r="H8" s="5" t="n">
        <v>699</v>
      </c>
      <c r="I8" s="5" t="n">
        <v>0.1</v>
      </c>
      <c r="J8" s="5" t="s">
        <v>18</v>
      </c>
      <c r="K8" s="5" t="s">
        <v>19</v>
      </c>
    </row>
    <row r="9" customFormat="false" ht="15" hidden="false" customHeight="true" outlineLevel="0" collapsed="false">
      <c r="A9" s="4" t="s">
        <v>44</v>
      </c>
      <c r="B9" s="4" t="s">
        <v>45</v>
      </c>
      <c r="C9" s="4" t="s">
        <v>46</v>
      </c>
      <c r="D9" s="4" t="s">
        <v>15</v>
      </c>
      <c r="E9" s="4" t="s">
        <v>34</v>
      </c>
      <c r="F9" s="4" t="s">
        <v>47</v>
      </c>
      <c r="G9" s="4" t="n">
        <v>30</v>
      </c>
      <c r="H9" s="4" t="n">
        <v>12.5</v>
      </c>
      <c r="I9" s="4" t="n">
        <v>0</v>
      </c>
      <c r="J9" s="4" t="s">
        <v>26</v>
      </c>
      <c r="K9" s="4" t="s">
        <v>19</v>
      </c>
    </row>
    <row r="10" customFormat="false" ht="15" hidden="false" customHeight="true" outlineLevel="0" collapsed="false">
      <c r="A10" s="5" t="s">
        <v>48</v>
      </c>
      <c r="B10" s="5" t="s">
        <v>49</v>
      </c>
      <c r="C10" s="5" t="s">
        <v>29</v>
      </c>
      <c r="D10" s="5" t="s">
        <v>30</v>
      </c>
      <c r="E10" s="5" t="s">
        <v>16</v>
      </c>
      <c r="F10" s="5" t="s">
        <v>50</v>
      </c>
      <c r="G10" s="5" t="n">
        <v>6</v>
      </c>
      <c r="H10" s="5" t="n">
        <v>429.99</v>
      </c>
      <c r="I10" s="5" t="n">
        <v>0.05</v>
      </c>
      <c r="J10" s="5" t="s">
        <v>18</v>
      </c>
      <c r="K10" s="5" t="s">
        <v>19</v>
      </c>
    </row>
    <row r="11" customFormat="false" ht="15" hidden="false" customHeight="true" outlineLevel="0" collapsed="false">
      <c r="A11" s="4" t="s">
        <v>51</v>
      </c>
      <c r="B11" s="4" t="s">
        <v>52</v>
      </c>
      <c r="C11" s="4" t="s">
        <v>14</v>
      </c>
      <c r="D11" s="4" t="s">
        <v>15</v>
      </c>
      <c r="E11" s="4" t="s">
        <v>24</v>
      </c>
      <c r="F11" s="4" t="s">
        <v>53</v>
      </c>
      <c r="G11" s="4" t="n">
        <v>3</v>
      </c>
      <c r="H11" s="4" t="n">
        <v>189</v>
      </c>
      <c r="I11" s="4" t="n">
        <v>0</v>
      </c>
      <c r="J11" s="4" t="s">
        <v>26</v>
      </c>
      <c r="K11" s="4" t="s">
        <v>19</v>
      </c>
    </row>
    <row r="12" customFormat="false" ht="15" hidden="false" customHeight="true" outlineLevel="0" collapsed="false">
      <c r="A12" s="5" t="s">
        <v>54</v>
      </c>
      <c r="B12" s="5" t="s">
        <v>55</v>
      </c>
      <c r="C12" s="5" t="s">
        <v>38</v>
      </c>
      <c r="D12" s="5" t="s">
        <v>39</v>
      </c>
      <c r="E12" s="5" t="s">
        <v>16</v>
      </c>
      <c r="F12" s="5" t="s">
        <v>17</v>
      </c>
      <c r="G12" s="5" t="n">
        <v>1</v>
      </c>
      <c r="H12" s="5" t="n">
        <v>1299.99</v>
      </c>
      <c r="I12" s="5" t="n">
        <v>0.1</v>
      </c>
      <c r="J12" s="5" t="s">
        <v>18</v>
      </c>
      <c r="K12" s="5" t="s">
        <v>19</v>
      </c>
    </row>
    <row r="13" customFormat="false" ht="15" hidden="false" customHeight="true" outlineLevel="0" collapsed="false">
      <c r="A13" s="4" t="s">
        <v>56</v>
      </c>
      <c r="B13" s="4" t="s">
        <v>57</v>
      </c>
      <c r="C13" s="4" t="s">
        <v>22</v>
      </c>
      <c r="D13" s="4" t="s">
        <v>23</v>
      </c>
      <c r="E13" s="4" t="s">
        <v>34</v>
      </c>
      <c r="F13" s="4" t="s">
        <v>58</v>
      </c>
      <c r="G13" s="4" t="n">
        <v>15</v>
      </c>
      <c r="H13" s="4" t="n">
        <v>8.99</v>
      </c>
      <c r="I13" s="4" t="n">
        <v>0</v>
      </c>
      <c r="J13" s="4" t="s">
        <v>26</v>
      </c>
      <c r="K13" s="4" t="s">
        <v>19</v>
      </c>
    </row>
    <row r="14" customFormat="false" ht="15" hidden="false" customHeight="true" outlineLevel="0" collapsed="false">
      <c r="A14" s="5" t="s">
        <v>59</v>
      </c>
      <c r="B14" s="5" t="s">
        <v>60</v>
      </c>
      <c r="C14" s="5" t="s">
        <v>46</v>
      </c>
      <c r="D14" s="5" t="s">
        <v>15</v>
      </c>
      <c r="E14" s="5" t="s">
        <v>16</v>
      </c>
      <c r="F14" s="5" t="s">
        <v>31</v>
      </c>
      <c r="G14" s="5" t="n">
        <v>2</v>
      </c>
      <c r="H14" s="5" t="n">
        <v>499</v>
      </c>
      <c r="I14" s="5" t="n">
        <v>0.05</v>
      </c>
      <c r="J14" s="5" t="s">
        <v>18</v>
      </c>
      <c r="K14" s="5" t="s">
        <v>19</v>
      </c>
    </row>
    <row r="15" customFormat="false" ht="15" hidden="false" customHeight="true" outlineLevel="0" collapsed="false">
      <c r="A15" s="4" t="s">
        <v>61</v>
      </c>
      <c r="B15" s="4" t="s">
        <v>62</v>
      </c>
      <c r="C15" s="4" t="s">
        <v>29</v>
      </c>
      <c r="D15" s="4" t="s">
        <v>30</v>
      </c>
      <c r="E15" s="4" t="s">
        <v>24</v>
      </c>
      <c r="F15" s="4" t="s">
        <v>63</v>
      </c>
      <c r="G15" s="4" t="n">
        <v>4</v>
      </c>
      <c r="H15" s="4" t="n">
        <v>549</v>
      </c>
      <c r="I15" s="4" t="n">
        <v>0.1</v>
      </c>
      <c r="J15" s="4" t="s">
        <v>18</v>
      </c>
      <c r="K15" s="4" t="s">
        <v>64</v>
      </c>
    </row>
    <row r="16" customFormat="false" ht="15" hidden="false" customHeight="true" outlineLevel="0" collapsed="false">
      <c r="A16" s="5" t="s">
        <v>65</v>
      </c>
      <c r="B16" s="5" t="s">
        <v>66</v>
      </c>
      <c r="C16" s="5" t="s">
        <v>14</v>
      </c>
      <c r="D16" s="5" t="s">
        <v>15</v>
      </c>
      <c r="E16" s="5" t="s">
        <v>16</v>
      </c>
      <c r="F16" s="5" t="s">
        <v>40</v>
      </c>
      <c r="G16" s="5" t="n">
        <v>3</v>
      </c>
      <c r="H16" s="5" t="n">
        <v>899</v>
      </c>
      <c r="I16" s="5" t="n">
        <v>0</v>
      </c>
      <c r="J16" s="5" t="s">
        <v>26</v>
      </c>
      <c r="K16" s="5" t="s">
        <v>19</v>
      </c>
    </row>
    <row r="17" customFormat="false" ht="15" hidden="false" customHeight="true" outlineLevel="0" collapsed="false">
      <c r="A17" s="4" t="s">
        <v>67</v>
      </c>
      <c r="B17" s="4" t="s">
        <v>68</v>
      </c>
      <c r="C17" s="4" t="s">
        <v>38</v>
      </c>
      <c r="D17" s="4" t="s">
        <v>39</v>
      </c>
      <c r="E17" s="4" t="s">
        <v>34</v>
      </c>
      <c r="F17" s="4" t="s">
        <v>69</v>
      </c>
      <c r="G17" s="4" t="n">
        <v>100</v>
      </c>
      <c r="H17" s="4" t="n">
        <v>0.05</v>
      </c>
      <c r="I17" s="4" t="n">
        <v>0.2</v>
      </c>
      <c r="J17" s="4" t="s">
        <v>18</v>
      </c>
      <c r="K17" s="4" t="s">
        <v>19</v>
      </c>
    </row>
    <row r="18" customFormat="false" ht="15" hidden="false" customHeight="true" outlineLevel="0" collapsed="false">
      <c r="A18" s="5" t="s">
        <v>70</v>
      </c>
      <c r="B18" s="5" t="s">
        <v>71</v>
      </c>
      <c r="C18" s="5" t="s">
        <v>22</v>
      </c>
      <c r="D18" s="5" t="s">
        <v>23</v>
      </c>
      <c r="E18" s="5" t="s">
        <v>16</v>
      </c>
      <c r="F18" s="5" t="s">
        <v>50</v>
      </c>
      <c r="G18" s="5" t="n">
        <v>3</v>
      </c>
      <c r="H18" s="5" t="n">
        <v>429.99</v>
      </c>
      <c r="I18" s="5" t="n">
        <v>0.05</v>
      </c>
      <c r="J18" s="5" t="s">
        <v>26</v>
      </c>
      <c r="K18" s="5" t="s">
        <v>19</v>
      </c>
    </row>
    <row r="19" customFormat="false" ht="15" hidden="false" customHeight="true" outlineLevel="0" collapsed="false">
      <c r="A19" s="4" t="s">
        <v>72</v>
      </c>
      <c r="B19" s="4" t="s">
        <v>73</v>
      </c>
      <c r="C19" s="4" t="s">
        <v>46</v>
      </c>
      <c r="D19" s="4" t="s">
        <v>15</v>
      </c>
      <c r="E19" s="4" t="s">
        <v>24</v>
      </c>
      <c r="F19" s="4" t="s">
        <v>25</v>
      </c>
      <c r="G19" s="4" t="n">
        <v>2</v>
      </c>
      <c r="H19" s="4" t="n">
        <v>349.5</v>
      </c>
      <c r="I19" s="4" t="n">
        <v>0</v>
      </c>
      <c r="J19" s="4" t="s">
        <v>18</v>
      </c>
      <c r="K19" s="4" t="s">
        <v>19</v>
      </c>
    </row>
    <row r="20" customFormat="false" ht="15" hidden="false" customHeight="true" outlineLevel="0" collapsed="false">
      <c r="A20" s="5" t="s">
        <v>74</v>
      </c>
      <c r="B20" s="5" t="s">
        <v>75</v>
      </c>
      <c r="C20" s="5" t="s">
        <v>29</v>
      </c>
      <c r="D20" s="5" t="s">
        <v>30</v>
      </c>
      <c r="E20" s="5" t="s">
        <v>16</v>
      </c>
      <c r="F20" s="5" t="s">
        <v>17</v>
      </c>
      <c r="G20" s="5" t="n">
        <v>3</v>
      </c>
      <c r="H20" s="5" t="n">
        <v>1299.99</v>
      </c>
      <c r="I20" s="5" t="n">
        <v>0.08</v>
      </c>
      <c r="J20" s="5" t="s">
        <v>18</v>
      </c>
      <c r="K20" s="5" t="s">
        <v>19</v>
      </c>
    </row>
    <row r="21" customFormat="false" ht="15" hidden="false" customHeight="true" outlineLevel="0" collapsed="false">
      <c r="A21" s="4" t="s">
        <v>76</v>
      </c>
      <c r="B21" s="4" t="s">
        <v>77</v>
      </c>
      <c r="C21" s="4" t="s">
        <v>14</v>
      </c>
      <c r="D21" s="4" t="s">
        <v>15</v>
      </c>
      <c r="E21" s="4" t="s">
        <v>34</v>
      </c>
      <c r="F21" s="4" t="s">
        <v>78</v>
      </c>
      <c r="G21" s="4" t="n">
        <v>40</v>
      </c>
      <c r="H21" s="4" t="n">
        <v>1.25</v>
      </c>
      <c r="I21" s="4" t="n">
        <v>0</v>
      </c>
      <c r="J21" s="4" t="s">
        <v>26</v>
      </c>
      <c r="K21" s="4" t="s">
        <v>19</v>
      </c>
    </row>
    <row r="22" customFormat="false" ht="15" hidden="false" customHeight="true" outlineLevel="0" collapsed="false">
      <c r="A22" s="5" t="s">
        <v>79</v>
      </c>
      <c r="B22" s="5" t="s">
        <v>80</v>
      </c>
      <c r="C22" s="5" t="s">
        <v>38</v>
      </c>
      <c r="D22" s="5" t="s">
        <v>39</v>
      </c>
      <c r="E22" s="5" t="s">
        <v>24</v>
      </c>
      <c r="F22" s="5" t="s">
        <v>43</v>
      </c>
      <c r="G22" s="5" t="n">
        <v>1</v>
      </c>
      <c r="H22" s="5" t="n">
        <v>699</v>
      </c>
      <c r="I22" s="5" t="n">
        <v>0.15</v>
      </c>
      <c r="J22" s="5" t="s">
        <v>18</v>
      </c>
      <c r="K22" s="5" t="s">
        <v>64</v>
      </c>
    </row>
    <row r="23" customFormat="false" ht="15" hidden="false" customHeight="true" outlineLevel="0" collapsed="false">
      <c r="A23" s="4" t="s">
        <v>81</v>
      </c>
      <c r="B23" s="4" t="s">
        <v>82</v>
      </c>
      <c r="C23" s="4" t="s">
        <v>22</v>
      </c>
      <c r="D23" s="4" t="s">
        <v>23</v>
      </c>
      <c r="E23" s="4" t="s">
        <v>16</v>
      </c>
      <c r="F23" s="4" t="s">
        <v>31</v>
      </c>
      <c r="G23" s="4" t="n">
        <v>5</v>
      </c>
      <c r="H23" s="4" t="n">
        <v>499</v>
      </c>
      <c r="I23" s="4" t="n">
        <v>0.05</v>
      </c>
      <c r="J23" s="4" t="s">
        <v>18</v>
      </c>
      <c r="K23" s="4" t="s">
        <v>19</v>
      </c>
    </row>
    <row r="24" customFormat="false" ht="15" hidden="false" customHeight="true" outlineLevel="0" collapsed="false">
      <c r="A24" s="5" t="s">
        <v>83</v>
      </c>
      <c r="B24" s="5" t="s">
        <v>84</v>
      </c>
      <c r="C24" s="5" t="s">
        <v>46</v>
      </c>
      <c r="D24" s="5" t="s">
        <v>15</v>
      </c>
      <c r="E24" s="5" t="s">
        <v>16</v>
      </c>
      <c r="F24" s="5" t="s">
        <v>40</v>
      </c>
      <c r="G24" s="5" t="n">
        <v>2</v>
      </c>
      <c r="H24" s="5" t="n">
        <v>899</v>
      </c>
      <c r="I24" s="5" t="n">
        <v>0.1</v>
      </c>
      <c r="J24" s="5" t="s">
        <v>26</v>
      </c>
      <c r="K24" s="5" t="s">
        <v>19</v>
      </c>
    </row>
    <row r="25" customFormat="false" ht="15" hidden="false" customHeight="true" outlineLevel="0" collapsed="false">
      <c r="A25" s="4" t="s">
        <v>85</v>
      </c>
      <c r="B25" s="4" t="s">
        <v>86</v>
      </c>
      <c r="C25" s="4" t="s">
        <v>29</v>
      </c>
      <c r="D25" s="4" t="s">
        <v>30</v>
      </c>
      <c r="E25" s="4" t="s">
        <v>34</v>
      </c>
      <c r="F25" s="4" t="s">
        <v>35</v>
      </c>
      <c r="G25" s="4" t="n">
        <v>25</v>
      </c>
      <c r="H25" s="4" t="n">
        <v>4.99</v>
      </c>
      <c r="I25" s="4" t="n">
        <v>0</v>
      </c>
      <c r="J25" s="4" t="s">
        <v>26</v>
      </c>
      <c r="K25" s="4" t="s">
        <v>19</v>
      </c>
    </row>
    <row r="26" customFormat="false" ht="15" hidden="false" customHeight="true" outlineLevel="0" collapsed="false">
      <c r="A26" s="5" t="s">
        <v>87</v>
      </c>
      <c r="B26" s="5" t="s">
        <v>88</v>
      </c>
      <c r="C26" s="5" t="s">
        <v>14</v>
      </c>
      <c r="D26" s="5" t="s">
        <v>15</v>
      </c>
      <c r="E26" s="5" t="s">
        <v>24</v>
      </c>
      <c r="F26" s="5" t="s">
        <v>53</v>
      </c>
      <c r="G26" s="5" t="n">
        <v>5</v>
      </c>
      <c r="H26" s="5" t="n">
        <v>189</v>
      </c>
      <c r="I26" s="5" t="n">
        <v>0.05</v>
      </c>
      <c r="J26" s="5" t="s">
        <v>18</v>
      </c>
      <c r="K26" s="5" t="s">
        <v>19</v>
      </c>
    </row>
    <row r="27" customFormat="false" ht="15" hidden="false" customHeight="true" outlineLevel="0" collapsed="false">
      <c r="A27" s="4" t="s">
        <v>89</v>
      </c>
      <c r="B27" s="4" t="s">
        <v>90</v>
      </c>
      <c r="C27" s="4" t="s">
        <v>38</v>
      </c>
      <c r="D27" s="4" t="s">
        <v>39</v>
      </c>
      <c r="E27" s="4" t="s">
        <v>16</v>
      </c>
      <c r="F27" s="4" t="s">
        <v>17</v>
      </c>
      <c r="G27" s="4" t="n">
        <v>2</v>
      </c>
      <c r="H27" s="4" t="n">
        <v>1299.99</v>
      </c>
      <c r="I27" s="4" t="n">
        <v>0.1</v>
      </c>
      <c r="J27" s="4" t="s">
        <v>18</v>
      </c>
      <c r="K27" s="4" t="s">
        <v>19</v>
      </c>
    </row>
    <row r="28" customFormat="false" ht="15" hidden="false" customHeight="true" outlineLevel="0" collapsed="false">
      <c r="A28" s="5" t="s">
        <v>91</v>
      </c>
      <c r="B28" s="5" t="s">
        <v>92</v>
      </c>
      <c r="C28" s="5" t="s">
        <v>22</v>
      </c>
      <c r="D28" s="5" t="s">
        <v>23</v>
      </c>
      <c r="E28" s="5" t="s">
        <v>34</v>
      </c>
      <c r="F28" s="5" t="s">
        <v>58</v>
      </c>
      <c r="G28" s="5" t="n">
        <v>20</v>
      </c>
      <c r="H28" s="5" t="n">
        <v>8.99</v>
      </c>
      <c r="I28" s="5" t="n">
        <v>0</v>
      </c>
      <c r="J28" s="5" t="s">
        <v>26</v>
      </c>
      <c r="K28" s="5" t="s">
        <v>19</v>
      </c>
    </row>
    <row r="29" customFormat="false" ht="15" hidden="false" customHeight="true" outlineLevel="0" collapsed="false">
      <c r="A29" s="4" t="s">
        <v>93</v>
      </c>
      <c r="B29" s="4" t="s">
        <v>94</v>
      </c>
      <c r="C29" s="4" t="s">
        <v>46</v>
      </c>
      <c r="D29" s="4" t="s">
        <v>15</v>
      </c>
      <c r="E29" s="4" t="s">
        <v>16</v>
      </c>
      <c r="F29" s="4" t="s">
        <v>50</v>
      </c>
      <c r="G29" s="4" t="n">
        <v>4</v>
      </c>
      <c r="H29" s="4" t="n">
        <v>429.99</v>
      </c>
      <c r="I29" s="4" t="n">
        <v>0.08</v>
      </c>
      <c r="J29" s="4" t="s">
        <v>18</v>
      </c>
      <c r="K29" s="4" t="s">
        <v>19</v>
      </c>
    </row>
    <row r="30" customFormat="false" ht="15" hidden="false" customHeight="true" outlineLevel="0" collapsed="false">
      <c r="A30" s="5" t="s">
        <v>95</v>
      </c>
      <c r="B30" s="5" t="s">
        <v>96</v>
      </c>
      <c r="C30" s="5" t="s">
        <v>29</v>
      </c>
      <c r="D30" s="5" t="s">
        <v>30</v>
      </c>
      <c r="E30" s="5" t="s">
        <v>24</v>
      </c>
      <c r="F30" s="5" t="s">
        <v>63</v>
      </c>
      <c r="G30" s="5" t="n">
        <v>3</v>
      </c>
      <c r="H30" s="5" t="n">
        <v>549</v>
      </c>
      <c r="I30" s="5" t="n">
        <v>0.05</v>
      </c>
      <c r="J30" s="5" t="s">
        <v>26</v>
      </c>
      <c r="K30" s="5" t="s">
        <v>19</v>
      </c>
    </row>
    <row r="31" customFormat="false" ht="15" hidden="false" customHeight="true" outlineLevel="0" collapsed="false">
      <c r="A31" s="4" t="s">
        <v>97</v>
      </c>
      <c r="B31" s="4" t="s">
        <v>98</v>
      </c>
      <c r="C31" s="4" t="s">
        <v>14</v>
      </c>
      <c r="D31" s="4" t="s">
        <v>15</v>
      </c>
      <c r="E31" s="4" t="s">
        <v>16</v>
      </c>
      <c r="F31" s="4" t="s">
        <v>31</v>
      </c>
      <c r="G31" s="4" t="n">
        <v>6</v>
      </c>
      <c r="H31" s="4" t="n">
        <v>499</v>
      </c>
      <c r="I31" s="4" t="n">
        <v>0</v>
      </c>
      <c r="J31" s="4" t="s">
        <v>18</v>
      </c>
      <c r="K31" s="4" t="s">
        <v>19</v>
      </c>
    </row>
    <row r="32" customFormat="false" ht="15" hidden="false" customHeight="true" outlineLevel="0" collapsed="false">
      <c r="A32" s="5" t="s">
        <v>99</v>
      </c>
      <c r="B32" s="5" t="s">
        <v>100</v>
      </c>
      <c r="C32" s="5" t="s">
        <v>38</v>
      </c>
      <c r="D32" s="5" t="s">
        <v>39</v>
      </c>
      <c r="E32" s="5" t="s">
        <v>34</v>
      </c>
      <c r="F32" s="5" t="s">
        <v>47</v>
      </c>
      <c r="G32" s="5" t="n">
        <v>45</v>
      </c>
      <c r="H32" s="5" t="n">
        <v>12.5</v>
      </c>
      <c r="I32" s="5" t="n">
        <v>0.1</v>
      </c>
      <c r="J32" s="5" t="s">
        <v>26</v>
      </c>
      <c r="K32" s="5" t="s">
        <v>19</v>
      </c>
    </row>
    <row r="33" customFormat="false" ht="15" hidden="false" customHeight="true" outlineLevel="0" collapsed="false">
      <c r="A33" s="4" t="s">
        <v>101</v>
      </c>
      <c r="B33" s="4" t="s">
        <v>102</v>
      </c>
      <c r="C33" s="4" t="s">
        <v>22</v>
      </c>
      <c r="D33" s="4" t="s">
        <v>23</v>
      </c>
      <c r="E33" s="4" t="s">
        <v>16</v>
      </c>
      <c r="F33" s="4" t="s">
        <v>40</v>
      </c>
      <c r="G33" s="4" t="n">
        <v>3</v>
      </c>
      <c r="H33" s="4" t="n">
        <v>899</v>
      </c>
      <c r="I33" s="4" t="n">
        <v>0.05</v>
      </c>
      <c r="J33" s="4" t="s">
        <v>18</v>
      </c>
      <c r="K33" s="4" t="s">
        <v>19</v>
      </c>
    </row>
    <row r="34" customFormat="false" ht="15" hidden="false" customHeight="true" outlineLevel="0" collapsed="false">
      <c r="A34" s="5" t="s">
        <v>103</v>
      </c>
      <c r="B34" s="5" t="s">
        <v>104</v>
      </c>
      <c r="C34" s="5" t="s">
        <v>46</v>
      </c>
      <c r="D34" s="5" t="s">
        <v>15</v>
      </c>
      <c r="E34" s="5" t="s">
        <v>24</v>
      </c>
      <c r="F34" s="5" t="s">
        <v>25</v>
      </c>
      <c r="G34" s="5" t="n">
        <v>4</v>
      </c>
      <c r="H34" s="5" t="n">
        <v>349.5</v>
      </c>
      <c r="I34" s="5" t="n">
        <v>0.1</v>
      </c>
      <c r="J34" s="5" t="s">
        <v>18</v>
      </c>
      <c r="K34" s="5" t="s">
        <v>19</v>
      </c>
    </row>
    <row r="35" customFormat="false" ht="15" hidden="false" customHeight="true" outlineLevel="0" collapsed="false">
      <c r="A35" s="4" t="s">
        <v>105</v>
      </c>
      <c r="B35" s="4" t="s">
        <v>106</v>
      </c>
      <c r="C35" s="4" t="s">
        <v>29</v>
      </c>
      <c r="D35" s="4" t="s">
        <v>30</v>
      </c>
      <c r="E35" s="4" t="s">
        <v>16</v>
      </c>
      <c r="F35" s="4" t="s">
        <v>17</v>
      </c>
      <c r="G35" s="4" t="n">
        <v>1</v>
      </c>
      <c r="H35" s="4" t="n">
        <v>1299.99</v>
      </c>
      <c r="I35" s="4" t="n">
        <v>0</v>
      </c>
      <c r="J35" s="4" t="s">
        <v>26</v>
      </c>
      <c r="K35" s="4" t="s">
        <v>19</v>
      </c>
    </row>
    <row r="36" customFormat="false" ht="15" hidden="false" customHeight="true" outlineLevel="0" collapsed="false">
      <c r="A36" s="5" t="s">
        <v>107</v>
      </c>
      <c r="B36" s="5" t="s">
        <v>108</v>
      </c>
      <c r="C36" s="5" t="s">
        <v>14</v>
      </c>
      <c r="D36" s="5" t="s">
        <v>15</v>
      </c>
      <c r="E36" s="5" t="s">
        <v>34</v>
      </c>
      <c r="F36" s="5" t="s">
        <v>69</v>
      </c>
      <c r="G36" s="5" t="n">
        <v>200</v>
      </c>
      <c r="H36" s="5" t="n">
        <v>0.05</v>
      </c>
      <c r="I36" s="5" t="n">
        <v>0.25</v>
      </c>
      <c r="J36" s="5" t="s">
        <v>18</v>
      </c>
      <c r="K36" s="5" t="s">
        <v>19</v>
      </c>
    </row>
    <row r="37" customFormat="false" ht="15" hidden="false" customHeight="true" outlineLevel="0" collapsed="false">
      <c r="A37" s="4" t="s">
        <v>109</v>
      </c>
      <c r="B37" s="4" t="s">
        <v>110</v>
      </c>
      <c r="C37" s="4" t="s">
        <v>38</v>
      </c>
      <c r="D37" s="4" t="s">
        <v>39</v>
      </c>
      <c r="E37" s="4" t="s">
        <v>24</v>
      </c>
      <c r="F37" s="4" t="s">
        <v>43</v>
      </c>
      <c r="G37" s="4" t="n">
        <v>3</v>
      </c>
      <c r="H37" s="4" t="n">
        <v>699</v>
      </c>
      <c r="I37" s="4" t="n">
        <v>0.1</v>
      </c>
      <c r="J37" s="4" t="s">
        <v>18</v>
      </c>
      <c r="K37" s="4" t="s">
        <v>19</v>
      </c>
    </row>
    <row r="38" customFormat="false" ht="15" hidden="false" customHeight="true" outlineLevel="0" collapsed="false">
      <c r="A38" s="5" t="s">
        <v>111</v>
      </c>
      <c r="B38" s="5" t="s">
        <v>112</v>
      </c>
      <c r="C38" s="5" t="s">
        <v>22</v>
      </c>
      <c r="D38" s="5" t="s">
        <v>23</v>
      </c>
      <c r="E38" s="5" t="s">
        <v>16</v>
      </c>
      <c r="F38" s="5" t="s">
        <v>50</v>
      </c>
      <c r="G38" s="5" t="n">
        <v>5</v>
      </c>
      <c r="H38" s="5" t="n">
        <v>429.99</v>
      </c>
      <c r="I38" s="5" t="n">
        <v>0.05</v>
      </c>
      <c r="J38" s="5" t="s">
        <v>26</v>
      </c>
      <c r="K38" s="5" t="s">
        <v>19</v>
      </c>
    </row>
    <row r="39" customFormat="false" ht="15" hidden="false" customHeight="true" outlineLevel="0" collapsed="false">
      <c r="A39" s="4" t="s">
        <v>113</v>
      </c>
      <c r="B39" s="4" t="s">
        <v>114</v>
      </c>
      <c r="C39" s="4" t="s">
        <v>46</v>
      </c>
      <c r="D39" s="4" t="s">
        <v>15</v>
      </c>
      <c r="E39" s="4" t="s">
        <v>16</v>
      </c>
      <c r="F39" s="4" t="s">
        <v>31</v>
      </c>
      <c r="G39" s="4" t="n">
        <v>4</v>
      </c>
      <c r="H39" s="4" t="n">
        <v>499</v>
      </c>
      <c r="I39" s="4" t="n">
        <v>0.08</v>
      </c>
      <c r="J39" s="4" t="s">
        <v>18</v>
      </c>
      <c r="K39" s="4" t="s">
        <v>19</v>
      </c>
    </row>
    <row r="40" customFormat="false" ht="15" hidden="false" customHeight="true" outlineLevel="0" collapsed="false">
      <c r="A40" s="5" t="s">
        <v>115</v>
      </c>
      <c r="B40" s="5" t="s">
        <v>116</v>
      </c>
      <c r="C40" s="5" t="s">
        <v>29</v>
      </c>
      <c r="D40" s="5" t="s">
        <v>30</v>
      </c>
      <c r="E40" s="5" t="s">
        <v>34</v>
      </c>
      <c r="F40" s="5" t="s">
        <v>35</v>
      </c>
      <c r="G40" s="5" t="n">
        <v>60</v>
      </c>
      <c r="H40" s="5" t="n">
        <v>4.99</v>
      </c>
      <c r="I40" s="5" t="n">
        <v>0.15</v>
      </c>
      <c r="J40" s="5" t="s">
        <v>26</v>
      </c>
      <c r="K40" s="5" t="s">
        <v>19</v>
      </c>
    </row>
    <row r="41" customFormat="false" ht="15" hidden="false" customHeight="true" outlineLevel="0" collapsed="false">
      <c r="A41" s="4" t="s">
        <v>117</v>
      </c>
      <c r="B41" s="4" t="s">
        <v>118</v>
      </c>
      <c r="C41" s="4" t="s">
        <v>14</v>
      </c>
      <c r="D41" s="4" t="s">
        <v>15</v>
      </c>
      <c r="E41" s="4" t="s">
        <v>24</v>
      </c>
      <c r="F41" s="4" t="s">
        <v>63</v>
      </c>
      <c r="G41" s="4" t="n">
        <v>2</v>
      </c>
      <c r="H41" s="4" t="n">
        <v>549</v>
      </c>
      <c r="I41" s="4" t="n">
        <v>0.05</v>
      </c>
      <c r="J41" s="4" t="s">
        <v>18</v>
      </c>
      <c r="K41" s="4" t="s">
        <v>64</v>
      </c>
    </row>
    <row r="42" customFormat="false" ht="15" hidden="false" customHeight="true" outlineLevel="0" collapsed="false">
      <c r="A42" s="5" t="s">
        <v>119</v>
      </c>
      <c r="B42" s="5" t="s">
        <v>120</v>
      </c>
      <c r="C42" s="5" t="s">
        <v>38</v>
      </c>
      <c r="D42" s="5" t="s">
        <v>39</v>
      </c>
      <c r="E42" s="5" t="s">
        <v>16</v>
      </c>
      <c r="F42" s="5" t="s">
        <v>40</v>
      </c>
      <c r="G42" s="5" t="n">
        <v>5</v>
      </c>
      <c r="H42" s="5" t="n">
        <v>899</v>
      </c>
      <c r="I42" s="5" t="n">
        <v>0.1</v>
      </c>
      <c r="J42" s="5" t="s">
        <v>18</v>
      </c>
      <c r="K42" s="5" t="s">
        <v>19</v>
      </c>
    </row>
  </sheetData>
  <autoFilter ref="A2:K2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Q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4" min="4" style="1" width="9"/>
    <col collapsed="false" customWidth="true" hidden="false" outlineLevel="0" max="5" min="5" style="1" width="10"/>
    <col collapsed="false" customWidth="true" hidden="false" outlineLevel="0" max="6" min="6" style="1" width="8"/>
    <col collapsed="false" customWidth="true" hidden="false" outlineLevel="0" max="7" min="7" style="1" width="16"/>
    <col collapsed="false" customWidth="true" hidden="false" outlineLevel="0" max="8" min="8" style="1" width="18"/>
    <col collapsed="false" customWidth="true" hidden="false" outlineLevel="0" max="9" min="9" style="1" width="7"/>
    <col collapsed="false" customWidth="true" hidden="false" outlineLevel="0" max="10" min="10" style="1" width="11"/>
    <col collapsed="false" customWidth="true" hidden="false" outlineLevel="0" max="11" min="11" style="1" width="10"/>
    <col collapsed="false" customWidth="true" hidden="false" outlineLevel="0" max="14" min="12" style="1" width="12"/>
    <col collapsed="false" customWidth="true" hidden="false" outlineLevel="0" max="15" min="15" style="1" width="14"/>
    <col collapsed="false" customWidth="true" hidden="false" outlineLevel="0" max="16" min="16" style="1" width="11"/>
    <col collapsed="false" customWidth="true" hidden="false" outlineLevel="0" max="17" min="17" style="1" width="9"/>
  </cols>
  <sheetData>
    <row r="1" customFormat="false" ht="27.75" hidden="false" customHeight="true" outlineLevel="0" collapsed="false">
      <c r="A1" s="2" t="s">
        <v>121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9.5" hidden="false" customHeight="true" outlineLevel="0" collapsed="false">
      <c r="A2" s="3" t="s">
        <v>1</v>
      </c>
      <c r="B2" s="3" t="s">
        <v>2</v>
      </c>
      <c r="C2" s="3" t="s">
        <v>122</v>
      </c>
      <c r="D2" s="3" t="s">
        <v>123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124</v>
      </c>
      <c r="M2" s="3" t="s">
        <v>125</v>
      </c>
      <c r="N2" s="3" t="s">
        <v>126</v>
      </c>
      <c r="O2" s="3" t="s">
        <v>10</v>
      </c>
      <c r="P2" s="3" t="s">
        <v>11</v>
      </c>
      <c r="Q2" s="3" t="s">
        <v>127</v>
      </c>
    </row>
    <row r="3" customFormat="false" ht="15" hidden="false" customHeight="true" outlineLevel="0" collapsed="false">
      <c r="A3" s="6" t="s">
        <v>12</v>
      </c>
      <c r="B3" s="7" t="n">
        <v>45296</v>
      </c>
      <c r="C3" s="6" t="s">
        <v>128</v>
      </c>
      <c r="D3" s="6" t="s">
        <v>129</v>
      </c>
      <c r="E3" s="6" t="s">
        <v>14</v>
      </c>
      <c r="F3" s="6" t="s">
        <v>15</v>
      </c>
      <c r="G3" s="6" t="s">
        <v>16</v>
      </c>
      <c r="H3" s="6" t="s">
        <v>17</v>
      </c>
      <c r="I3" s="6" t="n">
        <v>2</v>
      </c>
      <c r="J3" s="8" t="n">
        <v>1299.99</v>
      </c>
      <c r="K3" s="8" t="n">
        <v>0.05</v>
      </c>
      <c r="L3" s="9" t="n">
        <f aca="false">I3*J3</f>
        <v>2599.98</v>
      </c>
      <c r="M3" s="9" t="n">
        <f aca="false">L3*K3</f>
        <v>129.999</v>
      </c>
      <c r="N3" s="9" t="n">
        <f aca="false">L3-M3</f>
        <v>2469.981</v>
      </c>
      <c r="O3" s="6" t="s">
        <v>18</v>
      </c>
      <c r="P3" s="6" t="s">
        <v>19</v>
      </c>
      <c r="Q3" s="6" t="n">
        <f aca="false">IF(P3="Y",1,0)</f>
        <v>0</v>
      </c>
    </row>
    <row r="4" customFormat="false" ht="15" hidden="false" customHeight="true" outlineLevel="0" collapsed="false">
      <c r="A4" s="10" t="s">
        <v>20</v>
      </c>
      <c r="B4" s="11" t="n">
        <v>45299</v>
      </c>
      <c r="C4" s="10" t="s">
        <v>128</v>
      </c>
      <c r="D4" s="10" t="s">
        <v>129</v>
      </c>
      <c r="E4" s="10" t="s">
        <v>22</v>
      </c>
      <c r="F4" s="10" t="s">
        <v>23</v>
      </c>
      <c r="G4" s="10" t="s">
        <v>24</v>
      </c>
      <c r="H4" s="10" t="s">
        <v>25</v>
      </c>
      <c r="I4" s="10" t="n">
        <v>5</v>
      </c>
      <c r="J4" s="12" t="n">
        <v>349.5</v>
      </c>
      <c r="K4" s="12" t="n">
        <v>0.1</v>
      </c>
      <c r="L4" s="13" t="n">
        <f aca="false">I4*J4</f>
        <v>1747.5</v>
      </c>
      <c r="M4" s="13" t="n">
        <f aca="false">L4*K4</f>
        <v>174.75</v>
      </c>
      <c r="N4" s="13" t="n">
        <f aca="false">L4-M4</f>
        <v>1572.75</v>
      </c>
      <c r="O4" s="10" t="s">
        <v>26</v>
      </c>
      <c r="P4" s="10" t="s">
        <v>19</v>
      </c>
      <c r="Q4" s="10" t="n">
        <f aca="false">IF(P4="Y",1,0)</f>
        <v>0</v>
      </c>
    </row>
    <row r="5" customFormat="false" ht="15" hidden="false" customHeight="true" outlineLevel="0" collapsed="false">
      <c r="A5" s="6" t="s">
        <v>27</v>
      </c>
      <c r="B5" s="7" t="n">
        <v>45303</v>
      </c>
      <c r="C5" s="6" t="s">
        <v>128</v>
      </c>
      <c r="D5" s="6" t="s">
        <v>129</v>
      </c>
      <c r="E5" s="6" t="s">
        <v>29</v>
      </c>
      <c r="F5" s="6" t="s">
        <v>30</v>
      </c>
      <c r="G5" s="6" t="s">
        <v>16</v>
      </c>
      <c r="H5" s="6" t="s">
        <v>31</v>
      </c>
      <c r="I5" s="6" t="n">
        <v>3</v>
      </c>
      <c r="J5" s="8" t="n">
        <v>499</v>
      </c>
      <c r="K5" s="8" t="n">
        <v>0</v>
      </c>
      <c r="L5" s="9" t="n">
        <f aca="false">I5*J5</f>
        <v>1497</v>
      </c>
      <c r="M5" s="9" t="n">
        <f aca="false">L5*K5</f>
        <v>0</v>
      </c>
      <c r="N5" s="9" t="n">
        <f aca="false">L5-M5</f>
        <v>1497</v>
      </c>
      <c r="O5" s="6" t="s">
        <v>18</v>
      </c>
      <c r="P5" s="6" t="s">
        <v>19</v>
      </c>
      <c r="Q5" s="6" t="n">
        <f aca="false">IF(P5="Y",1,0)</f>
        <v>0</v>
      </c>
    </row>
    <row r="6" customFormat="false" ht="15" hidden="false" customHeight="true" outlineLevel="0" collapsed="false">
      <c r="A6" s="10" t="s">
        <v>32</v>
      </c>
      <c r="B6" s="11" t="n">
        <v>45306</v>
      </c>
      <c r="C6" s="10" t="s">
        <v>128</v>
      </c>
      <c r="D6" s="10" t="s">
        <v>129</v>
      </c>
      <c r="E6" s="10" t="s">
        <v>14</v>
      </c>
      <c r="F6" s="10" t="s">
        <v>15</v>
      </c>
      <c r="G6" s="10" t="s">
        <v>34</v>
      </c>
      <c r="H6" s="10" t="s">
        <v>35</v>
      </c>
      <c r="I6" s="10" t="n">
        <v>50</v>
      </c>
      <c r="J6" s="12" t="n">
        <v>4.99</v>
      </c>
      <c r="K6" s="12" t="n">
        <v>0.15</v>
      </c>
      <c r="L6" s="13" t="n">
        <f aca="false">I6*J6</f>
        <v>249.5</v>
      </c>
      <c r="M6" s="13" t="n">
        <f aca="false">L6*K6</f>
        <v>37.425</v>
      </c>
      <c r="N6" s="13" t="n">
        <f aca="false">L6-M6</f>
        <v>212.075</v>
      </c>
      <c r="O6" s="10" t="s">
        <v>26</v>
      </c>
      <c r="P6" s="10" t="s">
        <v>19</v>
      </c>
      <c r="Q6" s="10" t="n">
        <f aca="false">IF(P6="Y",1,0)</f>
        <v>0</v>
      </c>
    </row>
    <row r="7" customFormat="false" ht="15" hidden="false" customHeight="true" outlineLevel="0" collapsed="false">
      <c r="A7" s="6" t="s">
        <v>36</v>
      </c>
      <c r="B7" s="7" t="n">
        <v>45311</v>
      </c>
      <c r="C7" s="6" t="s">
        <v>128</v>
      </c>
      <c r="D7" s="6" t="s">
        <v>129</v>
      </c>
      <c r="E7" s="6" t="s">
        <v>38</v>
      </c>
      <c r="F7" s="6" t="s">
        <v>39</v>
      </c>
      <c r="G7" s="6" t="s">
        <v>16</v>
      </c>
      <c r="H7" s="6" t="s">
        <v>40</v>
      </c>
      <c r="I7" s="6" t="n">
        <v>4</v>
      </c>
      <c r="J7" s="8" t="n">
        <v>899</v>
      </c>
      <c r="K7" s="8" t="n">
        <v>0.05</v>
      </c>
      <c r="L7" s="9" t="n">
        <f aca="false">I7*J7</f>
        <v>3596</v>
      </c>
      <c r="M7" s="9" t="n">
        <f aca="false">L7*K7</f>
        <v>179.8</v>
      </c>
      <c r="N7" s="9" t="n">
        <f aca="false">L7-M7</f>
        <v>3416.2</v>
      </c>
      <c r="O7" s="6" t="s">
        <v>18</v>
      </c>
      <c r="P7" s="6" t="s">
        <v>19</v>
      </c>
      <c r="Q7" s="6" t="n">
        <f aca="false">IF(P7="Y",1,0)</f>
        <v>0</v>
      </c>
    </row>
    <row r="8" customFormat="false" ht="15" hidden="false" customHeight="true" outlineLevel="0" collapsed="false">
      <c r="A8" s="10" t="s">
        <v>41</v>
      </c>
      <c r="B8" s="11" t="n">
        <v>45313</v>
      </c>
      <c r="C8" s="10" t="s">
        <v>128</v>
      </c>
      <c r="D8" s="10" t="s">
        <v>129</v>
      </c>
      <c r="E8" s="10" t="s">
        <v>22</v>
      </c>
      <c r="F8" s="10" t="s">
        <v>23</v>
      </c>
      <c r="G8" s="10" t="s">
        <v>24</v>
      </c>
      <c r="H8" s="10" t="s">
        <v>43</v>
      </c>
      <c r="I8" s="10" t="n">
        <v>2</v>
      </c>
      <c r="J8" s="12" t="n">
        <v>699</v>
      </c>
      <c r="K8" s="12" t="n">
        <v>0.1</v>
      </c>
      <c r="L8" s="13" t="n">
        <f aca="false">I8*J8</f>
        <v>1398</v>
      </c>
      <c r="M8" s="13" t="n">
        <f aca="false">L8*K8</f>
        <v>139.8</v>
      </c>
      <c r="N8" s="13" t="n">
        <f aca="false">L8-M8</f>
        <v>1258.2</v>
      </c>
      <c r="O8" s="10" t="s">
        <v>18</v>
      </c>
      <c r="P8" s="10" t="s">
        <v>19</v>
      </c>
      <c r="Q8" s="10" t="n">
        <f aca="false">IF(P8="Y",1,0)</f>
        <v>0</v>
      </c>
    </row>
    <row r="9" customFormat="false" ht="15" hidden="false" customHeight="true" outlineLevel="0" collapsed="false">
      <c r="A9" s="6" t="s">
        <v>44</v>
      </c>
      <c r="B9" s="7" t="n">
        <v>45319</v>
      </c>
      <c r="C9" s="6" t="s">
        <v>128</v>
      </c>
      <c r="D9" s="6" t="s">
        <v>129</v>
      </c>
      <c r="E9" s="6" t="s">
        <v>46</v>
      </c>
      <c r="F9" s="6" t="s">
        <v>15</v>
      </c>
      <c r="G9" s="6" t="s">
        <v>34</v>
      </c>
      <c r="H9" s="6" t="s">
        <v>47</v>
      </c>
      <c r="I9" s="6" t="n">
        <v>30</v>
      </c>
      <c r="J9" s="8" t="n">
        <v>12.5</v>
      </c>
      <c r="K9" s="8" t="n">
        <v>0</v>
      </c>
      <c r="L9" s="9" t="n">
        <f aca="false">I9*J9</f>
        <v>375</v>
      </c>
      <c r="M9" s="9" t="n">
        <f aca="false">L9*K9</f>
        <v>0</v>
      </c>
      <c r="N9" s="9" t="n">
        <f aca="false">L9-M9</f>
        <v>375</v>
      </c>
      <c r="O9" s="6" t="s">
        <v>26</v>
      </c>
      <c r="P9" s="6" t="s">
        <v>19</v>
      </c>
      <c r="Q9" s="6" t="n">
        <f aca="false">IF(P9="Y",1,0)</f>
        <v>0</v>
      </c>
    </row>
    <row r="10" customFormat="false" ht="15" hidden="false" customHeight="true" outlineLevel="0" collapsed="false">
      <c r="A10" s="10" t="s">
        <v>48</v>
      </c>
      <c r="B10" s="11" t="n">
        <v>45325</v>
      </c>
      <c r="C10" s="10" t="s">
        <v>130</v>
      </c>
      <c r="D10" s="10" t="s">
        <v>129</v>
      </c>
      <c r="E10" s="10" t="s">
        <v>29</v>
      </c>
      <c r="F10" s="10" t="s">
        <v>30</v>
      </c>
      <c r="G10" s="10" t="s">
        <v>16</v>
      </c>
      <c r="H10" s="10" t="s">
        <v>50</v>
      </c>
      <c r="I10" s="10" t="n">
        <v>6</v>
      </c>
      <c r="J10" s="12" t="n">
        <v>429.99</v>
      </c>
      <c r="K10" s="12" t="n">
        <v>0.05</v>
      </c>
      <c r="L10" s="13" t="n">
        <f aca="false">I10*J10</f>
        <v>2579.94</v>
      </c>
      <c r="M10" s="13" t="n">
        <f aca="false">L10*K10</f>
        <v>128.997</v>
      </c>
      <c r="N10" s="13" t="n">
        <f aca="false">L10-M10</f>
        <v>2450.943</v>
      </c>
      <c r="O10" s="10" t="s">
        <v>18</v>
      </c>
      <c r="P10" s="10" t="s">
        <v>19</v>
      </c>
      <c r="Q10" s="10" t="n">
        <f aca="false">IF(P10="Y",1,0)</f>
        <v>0</v>
      </c>
    </row>
    <row r="11" customFormat="false" ht="15" hidden="false" customHeight="true" outlineLevel="0" collapsed="false">
      <c r="A11" s="6" t="s">
        <v>51</v>
      </c>
      <c r="B11" s="7" t="n">
        <v>45329</v>
      </c>
      <c r="C11" s="6" t="s">
        <v>130</v>
      </c>
      <c r="D11" s="6" t="s">
        <v>129</v>
      </c>
      <c r="E11" s="6" t="s">
        <v>14</v>
      </c>
      <c r="F11" s="6" t="s">
        <v>15</v>
      </c>
      <c r="G11" s="6" t="s">
        <v>24</v>
      </c>
      <c r="H11" s="6" t="s">
        <v>53</v>
      </c>
      <c r="I11" s="6" t="n">
        <v>3</v>
      </c>
      <c r="J11" s="8" t="n">
        <v>189</v>
      </c>
      <c r="K11" s="8" t="n">
        <v>0</v>
      </c>
      <c r="L11" s="9" t="n">
        <f aca="false">I11*J11</f>
        <v>567</v>
      </c>
      <c r="M11" s="9" t="n">
        <f aca="false">L11*K11</f>
        <v>0</v>
      </c>
      <c r="N11" s="9" t="n">
        <f aca="false">L11-M11</f>
        <v>567</v>
      </c>
      <c r="O11" s="6" t="s">
        <v>26</v>
      </c>
      <c r="P11" s="6" t="s">
        <v>19</v>
      </c>
      <c r="Q11" s="6" t="n">
        <f aca="false">IF(P11="Y",1,0)</f>
        <v>0</v>
      </c>
    </row>
    <row r="12" customFormat="false" ht="15" hidden="false" customHeight="true" outlineLevel="0" collapsed="false">
      <c r="A12" s="10" t="s">
        <v>54</v>
      </c>
      <c r="B12" s="11" t="n">
        <v>45332</v>
      </c>
      <c r="C12" s="10" t="s">
        <v>130</v>
      </c>
      <c r="D12" s="10" t="s">
        <v>129</v>
      </c>
      <c r="E12" s="10" t="s">
        <v>38</v>
      </c>
      <c r="F12" s="10" t="s">
        <v>39</v>
      </c>
      <c r="G12" s="10" t="s">
        <v>16</v>
      </c>
      <c r="H12" s="10" t="s">
        <v>17</v>
      </c>
      <c r="I12" s="10" t="n">
        <v>1</v>
      </c>
      <c r="J12" s="12" t="n">
        <v>1299.99</v>
      </c>
      <c r="K12" s="12" t="n">
        <v>0.1</v>
      </c>
      <c r="L12" s="13" t="n">
        <f aca="false">I12*J12</f>
        <v>1299.99</v>
      </c>
      <c r="M12" s="13" t="n">
        <f aca="false">L12*K12</f>
        <v>129.999</v>
      </c>
      <c r="N12" s="13" t="n">
        <f aca="false">L12-M12</f>
        <v>1169.991</v>
      </c>
      <c r="O12" s="10" t="s">
        <v>18</v>
      </c>
      <c r="P12" s="10" t="s">
        <v>19</v>
      </c>
      <c r="Q12" s="10" t="n">
        <f aca="false">IF(P12="Y",1,0)</f>
        <v>0</v>
      </c>
    </row>
    <row r="13" customFormat="false" ht="15" hidden="false" customHeight="true" outlineLevel="0" collapsed="false">
      <c r="A13" s="6" t="s">
        <v>56</v>
      </c>
      <c r="B13" s="7" t="n">
        <v>45336</v>
      </c>
      <c r="C13" s="6" t="s">
        <v>130</v>
      </c>
      <c r="D13" s="6" t="s">
        <v>129</v>
      </c>
      <c r="E13" s="6" t="s">
        <v>22</v>
      </c>
      <c r="F13" s="6" t="s">
        <v>23</v>
      </c>
      <c r="G13" s="6" t="s">
        <v>34</v>
      </c>
      <c r="H13" s="6" t="s">
        <v>58</v>
      </c>
      <c r="I13" s="6" t="n">
        <v>15</v>
      </c>
      <c r="J13" s="8" t="n">
        <v>8.99</v>
      </c>
      <c r="K13" s="8" t="n">
        <v>0</v>
      </c>
      <c r="L13" s="9" t="n">
        <f aca="false">I13*J13</f>
        <v>134.85</v>
      </c>
      <c r="M13" s="9" t="n">
        <f aca="false">L13*K13</f>
        <v>0</v>
      </c>
      <c r="N13" s="9" t="n">
        <f aca="false">L13-M13</f>
        <v>134.85</v>
      </c>
      <c r="O13" s="6" t="s">
        <v>26</v>
      </c>
      <c r="P13" s="6" t="s">
        <v>19</v>
      </c>
      <c r="Q13" s="6" t="n">
        <f aca="false">IF(P13="Y",1,0)</f>
        <v>0</v>
      </c>
    </row>
    <row r="14" customFormat="false" ht="15" hidden="false" customHeight="true" outlineLevel="0" collapsed="false">
      <c r="A14" s="10" t="s">
        <v>59</v>
      </c>
      <c r="B14" s="11" t="n">
        <v>45340</v>
      </c>
      <c r="C14" s="10" t="s">
        <v>130</v>
      </c>
      <c r="D14" s="10" t="s">
        <v>129</v>
      </c>
      <c r="E14" s="10" t="s">
        <v>46</v>
      </c>
      <c r="F14" s="10" t="s">
        <v>15</v>
      </c>
      <c r="G14" s="10" t="s">
        <v>16</v>
      </c>
      <c r="H14" s="10" t="s">
        <v>31</v>
      </c>
      <c r="I14" s="10" t="n">
        <v>2</v>
      </c>
      <c r="J14" s="12" t="n">
        <v>499</v>
      </c>
      <c r="K14" s="12" t="n">
        <v>0.05</v>
      </c>
      <c r="L14" s="13" t="n">
        <f aca="false">I14*J14</f>
        <v>998</v>
      </c>
      <c r="M14" s="13" t="n">
        <f aca="false">L14*K14</f>
        <v>49.9</v>
      </c>
      <c r="N14" s="13" t="n">
        <f aca="false">L14-M14</f>
        <v>948.1</v>
      </c>
      <c r="O14" s="10" t="s">
        <v>18</v>
      </c>
      <c r="P14" s="10" t="s">
        <v>19</v>
      </c>
      <c r="Q14" s="10" t="n">
        <f aca="false">IF(P14="Y",1,0)</f>
        <v>0</v>
      </c>
    </row>
    <row r="15" customFormat="false" ht="15" hidden="false" customHeight="true" outlineLevel="0" collapsed="false">
      <c r="A15" s="6" t="s">
        <v>61</v>
      </c>
      <c r="B15" s="7" t="n">
        <v>45344</v>
      </c>
      <c r="C15" s="6" t="s">
        <v>130</v>
      </c>
      <c r="D15" s="6" t="s">
        <v>129</v>
      </c>
      <c r="E15" s="6" t="s">
        <v>29</v>
      </c>
      <c r="F15" s="6" t="s">
        <v>30</v>
      </c>
      <c r="G15" s="6" t="s">
        <v>24</v>
      </c>
      <c r="H15" s="6" t="s">
        <v>63</v>
      </c>
      <c r="I15" s="6" t="n">
        <v>4</v>
      </c>
      <c r="J15" s="8" t="n">
        <v>549</v>
      </c>
      <c r="K15" s="8" t="n">
        <v>0.1</v>
      </c>
      <c r="L15" s="9" t="n">
        <f aca="false">I15*J15</f>
        <v>2196</v>
      </c>
      <c r="M15" s="9" t="n">
        <f aca="false">L15*K15</f>
        <v>219.6</v>
      </c>
      <c r="N15" s="9" t="n">
        <f aca="false">L15-M15</f>
        <v>1976.4</v>
      </c>
      <c r="O15" s="6" t="s">
        <v>18</v>
      </c>
      <c r="P15" s="6" t="s">
        <v>64</v>
      </c>
      <c r="Q15" s="6" t="n">
        <f aca="false">IF(P15="Y",1,0)</f>
        <v>1</v>
      </c>
    </row>
    <row r="16" customFormat="false" ht="15" hidden="false" customHeight="true" outlineLevel="0" collapsed="false">
      <c r="A16" s="10" t="s">
        <v>65</v>
      </c>
      <c r="B16" s="11" t="n">
        <v>45347</v>
      </c>
      <c r="C16" s="10" t="s">
        <v>130</v>
      </c>
      <c r="D16" s="10" t="s">
        <v>129</v>
      </c>
      <c r="E16" s="10" t="s">
        <v>14</v>
      </c>
      <c r="F16" s="10" t="s">
        <v>15</v>
      </c>
      <c r="G16" s="10" t="s">
        <v>16</v>
      </c>
      <c r="H16" s="10" t="s">
        <v>40</v>
      </c>
      <c r="I16" s="10" t="n">
        <v>3</v>
      </c>
      <c r="J16" s="12" t="n">
        <v>899</v>
      </c>
      <c r="K16" s="12" t="n">
        <v>0</v>
      </c>
      <c r="L16" s="13" t="n">
        <f aca="false">I16*J16</f>
        <v>2697</v>
      </c>
      <c r="M16" s="13" t="n">
        <f aca="false">L16*K16</f>
        <v>0</v>
      </c>
      <c r="N16" s="13" t="n">
        <f aca="false">L16-M16</f>
        <v>2697</v>
      </c>
      <c r="O16" s="10" t="s">
        <v>26</v>
      </c>
      <c r="P16" s="10" t="s">
        <v>19</v>
      </c>
      <c r="Q16" s="10" t="n">
        <f aca="false">IF(P16="Y",1,0)</f>
        <v>0</v>
      </c>
    </row>
    <row r="17" customFormat="false" ht="15" hidden="false" customHeight="true" outlineLevel="0" collapsed="false">
      <c r="A17" s="6" t="s">
        <v>67</v>
      </c>
      <c r="B17" s="7" t="n">
        <v>45353</v>
      </c>
      <c r="C17" s="6" t="s">
        <v>131</v>
      </c>
      <c r="D17" s="6" t="s">
        <v>129</v>
      </c>
      <c r="E17" s="6" t="s">
        <v>38</v>
      </c>
      <c r="F17" s="6" t="s">
        <v>39</v>
      </c>
      <c r="G17" s="6" t="s">
        <v>34</v>
      </c>
      <c r="H17" s="6" t="s">
        <v>69</v>
      </c>
      <c r="I17" s="6" t="n">
        <v>100</v>
      </c>
      <c r="J17" s="8" t="n">
        <v>0.05</v>
      </c>
      <c r="K17" s="8" t="n">
        <v>0.2</v>
      </c>
      <c r="L17" s="9" t="n">
        <f aca="false">I17*J17</f>
        <v>5</v>
      </c>
      <c r="M17" s="9" t="n">
        <f aca="false">L17*K17</f>
        <v>1</v>
      </c>
      <c r="N17" s="9" t="n">
        <f aca="false">L17-M17</f>
        <v>4</v>
      </c>
      <c r="O17" s="6" t="s">
        <v>18</v>
      </c>
      <c r="P17" s="6" t="s">
        <v>19</v>
      </c>
      <c r="Q17" s="6" t="n">
        <f aca="false">IF(P17="Y",1,0)</f>
        <v>0</v>
      </c>
    </row>
    <row r="18" customFormat="false" ht="15" hidden="false" customHeight="true" outlineLevel="0" collapsed="false">
      <c r="A18" s="10" t="s">
        <v>70</v>
      </c>
      <c r="B18" s="11" t="n">
        <v>45356</v>
      </c>
      <c r="C18" s="10" t="s">
        <v>131</v>
      </c>
      <c r="D18" s="10" t="s">
        <v>129</v>
      </c>
      <c r="E18" s="10" t="s">
        <v>22</v>
      </c>
      <c r="F18" s="10" t="s">
        <v>23</v>
      </c>
      <c r="G18" s="10" t="s">
        <v>16</v>
      </c>
      <c r="H18" s="10" t="s">
        <v>50</v>
      </c>
      <c r="I18" s="10" t="n">
        <v>3</v>
      </c>
      <c r="J18" s="12" t="n">
        <v>429.99</v>
      </c>
      <c r="K18" s="12" t="n">
        <v>0.05</v>
      </c>
      <c r="L18" s="13" t="n">
        <f aca="false">I18*J18</f>
        <v>1289.97</v>
      </c>
      <c r="M18" s="13" t="n">
        <f aca="false">L18*K18</f>
        <v>64.4985</v>
      </c>
      <c r="N18" s="13" t="n">
        <f aca="false">L18-M18</f>
        <v>1225.4715</v>
      </c>
      <c r="O18" s="10" t="s">
        <v>26</v>
      </c>
      <c r="P18" s="10" t="s">
        <v>19</v>
      </c>
      <c r="Q18" s="10" t="n">
        <f aca="false">IF(P18="Y",1,0)</f>
        <v>0</v>
      </c>
    </row>
    <row r="19" customFormat="false" ht="15" hidden="false" customHeight="true" outlineLevel="0" collapsed="false">
      <c r="A19" s="6" t="s">
        <v>72</v>
      </c>
      <c r="B19" s="7" t="n">
        <v>45361</v>
      </c>
      <c r="C19" s="6" t="s">
        <v>131</v>
      </c>
      <c r="D19" s="6" t="s">
        <v>129</v>
      </c>
      <c r="E19" s="6" t="s">
        <v>46</v>
      </c>
      <c r="F19" s="6" t="s">
        <v>15</v>
      </c>
      <c r="G19" s="6" t="s">
        <v>24</v>
      </c>
      <c r="H19" s="6" t="s">
        <v>25</v>
      </c>
      <c r="I19" s="6" t="n">
        <v>2</v>
      </c>
      <c r="J19" s="8" t="n">
        <v>349.5</v>
      </c>
      <c r="K19" s="8" t="n">
        <v>0</v>
      </c>
      <c r="L19" s="9" t="n">
        <f aca="false">I19*J19</f>
        <v>699</v>
      </c>
      <c r="M19" s="9" t="n">
        <f aca="false">L19*K19</f>
        <v>0</v>
      </c>
      <c r="N19" s="9" t="n">
        <f aca="false">L19-M19</f>
        <v>699</v>
      </c>
      <c r="O19" s="6" t="s">
        <v>18</v>
      </c>
      <c r="P19" s="6" t="s">
        <v>19</v>
      </c>
      <c r="Q19" s="6" t="n">
        <f aca="false">IF(P19="Y",1,0)</f>
        <v>0</v>
      </c>
    </row>
    <row r="20" customFormat="false" ht="15" hidden="false" customHeight="true" outlineLevel="0" collapsed="false">
      <c r="A20" s="10" t="s">
        <v>74</v>
      </c>
      <c r="B20" s="11" t="n">
        <v>45365</v>
      </c>
      <c r="C20" s="10" t="s">
        <v>131</v>
      </c>
      <c r="D20" s="10" t="s">
        <v>129</v>
      </c>
      <c r="E20" s="10" t="s">
        <v>29</v>
      </c>
      <c r="F20" s="10" t="s">
        <v>30</v>
      </c>
      <c r="G20" s="10" t="s">
        <v>16</v>
      </c>
      <c r="H20" s="10" t="s">
        <v>17</v>
      </c>
      <c r="I20" s="10" t="n">
        <v>3</v>
      </c>
      <c r="J20" s="12" t="n">
        <v>1299.99</v>
      </c>
      <c r="K20" s="12" t="n">
        <v>0.08</v>
      </c>
      <c r="L20" s="13" t="n">
        <f aca="false">I20*J20</f>
        <v>3899.97</v>
      </c>
      <c r="M20" s="13" t="n">
        <f aca="false">L20*K20</f>
        <v>311.9976</v>
      </c>
      <c r="N20" s="13" t="n">
        <f aca="false">L20-M20</f>
        <v>3587.9724</v>
      </c>
      <c r="O20" s="10" t="s">
        <v>18</v>
      </c>
      <c r="P20" s="10" t="s">
        <v>19</v>
      </c>
      <c r="Q20" s="10" t="n">
        <f aca="false">IF(P20="Y",1,0)</f>
        <v>0</v>
      </c>
    </row>
    <row r="21" customFormat="false" ht="15" hidden="false" customHeight="true" outlineLevel="0" collapsed="false">
      <c r="A21" s="6" t="s">
        <v>76</v>
      </c>
      <c r="B21" s="7" t="n">
        <v>45369</v>
      </c>
      <c r="C21" s="6" t="s">
        <v>131</v>
      </c>
      <c r="D21" s="6" t="s">
        <v>129</v>
      </c>
      <c r="E21" s="6" t="s">
        <v>14</v>
      </c>
      <c r="F21" s="6" t="s">
        <v>15</v>
      </c>
      <c r="G21" s="6" t="s">
        <v>34</v>
      </c>
      <c r="H21" s="6" t="s">
        <v>78</v>
      </c>
      <c r="I21" s="6" t="n">
        <v>40</v>
      </c>
      <c r="J21" s="8" t="n">
        <v>1.25</v>
      </c>
      <c r="K21" s="8" t="n">
        <v>0</v>
      </c>
      <c r="L21" s="9" t="n">
        <f aca="false">I21*J21</f>
        <v>50</v>
      </c>
      <c r="M21" s="9" t="n">
        <f aca="false">L21*K21</f>
        <v>0</v>
      </c>
      <c r="N21" s="9" t="n">
        <f aca="false">L21-M21</f>
        <v>50</v>
      </c>
      <c r="O21" s="6" t="s">
        <v>26</v>
      </c>
      <c r="P21" s="6" t="s">
        <v>19</v>
      </c>
      <c r="Q21" s="6" t="n">
        <f aca="false">IF(P21="Y",1,0)</f>
        <v>0</v>
      </c>
    </row>
    <row r="22" customFormat="false" ht="15" hidden="false" customHeight="true" outlineLevel="0" collapsed="false">
      <c r="A22" s="10" t="s">
        <v>79</v>
      </c>
      <c r="B22" s="11" t="n">
        <v>45373</v>
      </c>
      <c r="C22" s="10" t="s">
        <v>131</v>
      </c>
      <c r="D22" s="10" t="s">
        <v>129</v>
      </c>
      <c r="E22" s="10" t="s">
        <v>38</v>
      </c>
      <c r="F22" s="10" t="s">
        <v>39</v>
      </c>
      <c r="G22" s="10" t="s">
        <v>24</v>
      </c>
      <c r="H22" s="10" t="s">
        <v>43</v>
      </c>
      <c r="I22" s="10" t="n">
        <v>1</v>
      </c>
      <c r="J22" s="12" t="n">
        <v>699</v>
      </c>
      <c r="K22" s="12" t="n">
        <v>0.15</v>
      </c>
      <c r="L22" s="13" t="n">
        <f aca="false">I22*J22</f>
        <v>699</v>
      </c>
      <c r="M22" s="13" t="n">
        <f aca="false">L22*K22</f>
        <v>104.85</v>
      </c>
      <c r="N22" s="13" t="n">
        <f aca="false">L22-M22</f>
        <v>594.15</v>
      </c>
      <c r="O22" s="10" t="s">
        <v>18</v>
      </c>
      <c r="P22" s="10" t="s">
        <v>64</v>
      </c>
      <c r="Q22" s="10" t="n">
        <f aca="false">IF(P22="Y",1,0)</f>
        <v>1</v>
      </c>
    </row>
    <row r="23" customFormat="false" ht="15" hidden="false" customHeight="true" outlineLevel="0" collapsed="false">
      <c r="A23" s="6" t="s">
        <v>81</v>
      </c>
      <c r="B23" s="7" t="n">
        <v>45379</v>
      </c>
      <c r="C23" s="6" t="s">
        <v>131</v>
      </c>
      <c r="D23" s="6" t="s">
        <v>129</v>
      </c>
      <c r="E23" s="6" t="s">
        <v>22</v>
      </c>
      <c r="F23" s="6" t="s">
        <v>23</v>
      </c>
      <c r="G23" s="6" t="s">
        <v>16</v>
      </c>
      <c r="H23" s="6" t="s">
        <v>31</v>
      </c>
      <c r="I23" s="6" t="n">
        <v>5</v>
      </c>
      <c r="J23" s="8" t="n">
        <v>499</v>
      </c>
      <c r="K23" s="8" t="n">
        <v>0.05</v>
      </c>
      <c r="L23" s="9" t="n">
        <f aca="false">I23*J23</f>
        <v>2495</v>
      </c>
      <c r="M23" s="9" t="n">
        <f aca="false">L23*K23</f>
        <v>124.75</v>
      </c>
      <c r="N23" s="9" t="n">
        <f aca="false">L23-M23</f>
        <v>2370.25</v>
      </c>
      <c r="O23" s="6" t="s">
        <v>18</v>
      </c>
      <c r="P23" s="6" t="s">
        <v>19</v>
      </c>
      <c r="Q23" s="6" t="n">
        <f aca="false">IF(P23="Y",1,0)</f>
        <v>0</v>
      </c>
    </row>
    <row r="24" customFormat="false" ht="15" hidden="false" customHeight="true" outlineLevel="0" collapsed="false">
      <c r="A24" s="10" t="s">
        <v>83</v>
      </c>
      <c r="B24" s="11" t="n">
        <v>45384</v>
      </c>
      <c r="C24" s="10" t="s">
        <v>132</v>
      </c>
      <c r="D24" s="10" t="s">
        <v>133</v>
      </c>
      <c r="E24" s="10" t="s">
        <v>46</v>
      </c>
      <c r="F24" s="10" t="s">
        <v>15</v>
      </c>
      <c r="G24" s="10" t="s">
        <v>16</v>
      </c>
      <c r="H24" s="10" t="s">
        <v>40</v>
      </c>
      <c r="I24" s="10" t="n">
        <v>2</v>
      </c>
      <c r="J24" s="12" t="n">
        <v>899</v>
      </c>
      <c r="K24" s="12" t="n">
        <v>0.1</v>
      </c>
      <c r="L24" s="13" t="n">
        <f aca="false">I24*J24</f>
        <v>1798</v>
      </c>
      <c r="M24" s="13" t="n">
        <f aca="false">L24*K24</f>
        <v>179.8</v>
      </c>
      <c r="N24" s="13" t="n">
        <f aca="false">L24-M24</f>
        <v>1618.2</v>
      </c>
      <c r="O24" s="10" t="s">
        <v>26</v>
      </c>
      <c r="P24" s="10" t="s">
        <v>19</v>
      </c>
      <c r="Q24" s="10" t="n">
        <f aca="false">IF(P24="Y",1,0)</f>
        <v>0</v>
      </c>
    </row>
    <row r="25" customFormat="false" ht="15" hidden="false" customHeight="true" outlineLevel="0" collapsed="false">
      <c r="A25" s="6" t="s">
        <v>85</v>
      </c>
      <c r="B25" s="7" t="n">
        <v>45388</v>
      </c>
      <c r="C25" s="6" t="s">
        <v>132</v>
      </c>
      <c r="D25" s="6" t="s">
        <v>133</v>
      </c>
      <c r="E25" s="6" t="s">
        <v>29</v>
      </c>
      <c r="F25" s="6" t="s">
        <v>30</v>
      </c>
      <c r="G25" s="6" t="s">
        <v>34</v>
      </c>
      <c r="H25" s="6" t="s">
        <v>35</v>
      </c>
      <c r="I25" s="6" t="n">
        <v>25</v>
      </c>
      <c r="J25" s="8" t="n">
        <v>4.99</v>
      </c>
      <c r="K25" s="8" t="n">
        <v>0</v>
      </c>
      <c r="L25" s="9" t="n">
        <f aca="false">I25*J25</f>
        <v>124.75</v>
      </c>
      <c r="M25" s="9" t="n">
        <f aca="false">L25*K25</f>
        <v>0</v>
      </c>
      <c r="N25" s="9" t="n">
        <f aca="false">L25-M25</f>
        <v>124.75</v>
      </c>
      <c r="O25" s="6" t="s">
        <v>26</v>
      </c>
      <c r="P25" s="6" t="s">
        <v>19</v>
      </c>
      <c r="Q25" s="6" t="n">
        <f aca="false">IF(P25="Y",1,0)</f>
        <v>0</v>
      </c>
    </row>
    <row r="26" customFormat="false" ht="15" hidden="false" customHeight="true" outlineLevel="0" collapsed="false">
      <c r="A26" s="10" t="s">
        <v>87</v>
      </c>
      <c r="B26" s="11" t="n">
        <v>45392</v>
      </c>
      <c r="C26" s="10" t="s">
        <v>132</v>
      </c>
      <c r="D26" s="10" t="s">
        <v>133</v>
      </c>
      <c r="E26" s="10" t="s">
        <v>14</v>
      </c>
      <c r="F26" s="10" t="s">
        <v>15</v>
      </c>
      <c r="G26" s="10" t="s">
        <v>24</v>
      </c>
      <c r="H26" s="10" t="s">
        <v>53</v>
      </c>
      <c r="I26" s="10" t="n">
        <v>5</v>
      </c>
      <c r="J26" s="12" t="n">
        <v>189</v>
      </c>
      <c r="K26" s="12" t="n">
        <v>0.05</v>
      </c>
      <c r="L26" s="13" t="n">
        <f aca="false">I26*J26</f>
        <v>945</v>
      </c>
      <c r="M26" s="13" t="n">
        <f aca="false">L26*K26</f>
        <v>47.25</v>
      </c>
      <c r="N26" s="13" t="n">
        <f aca="false">L26-M26</f>
        <v>897.75</v>
      </c>
      <c r="O26" s="10" t="s">
        <v>18</v>
      </c>
      <c r="P26" s="10" t="s">
        <v>19</v>
      </c>
      <c r="Q26" s="10" t="n">
        <f aca="false">IF(P26="Y",1,0)</f>
        <v>0</v>
      </c>
    </row>
    <row r="27" customFormat="false" ht="15" hidden="false" customHeight="true" outlineLevel="0" collapsed="false">
      <c r="A27" s="6" t="s">
        <v>89</v>
      </c>
      <c r="B27" s="7" t="n">
        <v>45397</v>
      </c>
      <c r="C27" s="6" t="s">
        <v>132</v>
      </c>
      <c r="D27" s="6" t="s">
        <v>133</v>
      </c>
      <c r="E27" s="6" t="s">
        <v>38</v>
      </c>
      <c r="F27" s="6" t="s">
        <v>39</v>
      </c>
      <c r="G27" s="6" t="s">
        <v>16</v>
      </c>
      <c r="H27" s="6" t="s">
        <v>17</v>
      </c>
      <c r="I27" s="6" t="n">
        <v>2</v>
      </c>
      <c r="J27" s="8" t="n">
        <v>1299.99</v>
      </c>
      <c r="K27" s="8" t="n">
        <v>0.1</v>
      </c>
      <c r="L27" s="9" t="n">
        <f aca="false">I27*J27</f>
        <v>2599.98</v>
      </c>
      <c r="M27" s="9" t="n">
        <f aca="false">L27*K27</f>
        <v>259.998</v>
      </c>
      <c r="N27" s="9" t="n">
        <f aca="false">L27-M27</f>
        <v>2339.982</v>
      </c>
      <c r="O27" s="6" t="s">
        <v>18</v>
      </c>
      <c r="P27" s="6" t="s">
        <v>19</v>
      </c>
      <c r="Q27" s="6" t="n">
        <f aca="false">IF(P27="Y",1,0)</f>
        <v>0</v>
      </c>
    </row>
    <row r="28" customFormat="false" ht="15" hidden="false" customHeight="true" outlineLevel="0" collapsed="false">
      <c r="A28" s="10" t="s">
        <v>91</v>
      </c>
      <c r="B28" s="11" t="n">
        <v>45400</v>
      </c>
      <c r="C28" s="10" t="s">
        <v>132</v>
      </c>
      <c r="D28" s="10" t="s">
        <v>133</v>
      </c>
      <c r="E28" s="10" t="s">
        <v>22</v>
      </c>
      <c r="F28" s="10" t="s">
        <v>23</v>
      </c>
      <c r="G28" s="10" t="s">
        <v>34</v>
      </c>
      <c r="H28" s="10" t="s">
        <v>58</v>
      </c>
      <c r="I28" s="10" t="n">
        <v>20</v>
      </c>
      <c r="J28" s="12" t="n">
        <v>8.99</v>
      </c>
      <c r="K28" s="12" t="n">
        <v>0</v>
      </c>
      <c r="L28" s="13" t="n">
        <f aca="false">I28*J28</f>
        <v>179.8</v>
      </c>
      <c r="M28" s="13" t="n">
        <f aca="false">L28*K28</f>
        <v>0</v>
      </c>
      <c r="N28" s="13" t="n">
        <f aca="false">L28-M28</f>
        <v>179.8</v>
      </c>
      <c r="O28" s="10" t="s">
        <v>26</v>
      </c>
      <c r="P28" s="10" t="s">
        <v>19</v>
      </c>
      <c r="Q28" s="10" t="n">
        <f aca="false">IF(P28="Y",1,0)</f>
        <v>0</v>
      </c>
    </row>
    <row r="29" customFormat="false" ht="15" hidden="false" customHeight="true" outlineLevel="0" collapsed="false">
      <c r="A29" s="6" t="s">
        <v>93</v>
      </c>
      <c r="B29" s="7" t="n">
        <v>45404</v>
      </c>
      <c r="C29" s="6" t="s">
        <v>132</v>
      </c>
      <c r="D29" s="6" t="s">
        <v>133</v>
      </c>
      <c r="E29" s="6" t="s">
        <v>46</v>
      </c>
      <c r="F29" s="6" t="s">
        <v>15</v>
      </c>
      <c r="G29" s="6" t="s">
        <v>16</v>
      </c>
      <c r="H29" s="6" t="s">
        <v>50</v>
      </c>
      <c r="I29" s="6" t="n">
        <v>4</v>
      </c>
      <c r="J29" s="8" t="n">
        <v>429.99</v>
      </c>
      <c r="K29" s="8" t="n">
        <v>0.08</v>
      </c>
      <c r="L29" s="9" t="n">
        <f aca="false">I29*J29</f>
        <v>1719.96</v>
      </c>
      <c r="M29" s="9" t="n">
        <f aca="false">L29*K29</f>
        <v>137.5968</v>
      </c>
      <c r="N29" s="9" t="n">
        <f aca="false">L29-M29</f>
        <v>1582.3632</v>
      </c>
      <c r="O29" s="6" t="s">
        <v>18</v>
      </c>
      <c r="P29" s="6" t="s">
        <v>19</v>
      </c>
      <c r="Q29" s="6" t="n">
        <f aca="false">IF(P29="Y",1,0)</f>
        <v>0</v>
      </c>
    </row>
    <row r="30" customFormat="false" ht="15" hidden="false" customHeight="true" outlineLevel="0" collapsed="false">
      <c r="A30" s="10" t="s">
        <v>95</v>
      </c>
      <c r="B30" s="11" t="n">
        <v>45408</v>
      </c>
      <c r="C30" s="10" t="s">
        <v>132</v>
      </c>
      <c r="D30" s="10" t="s">
        <v>133</v>
      </c>
      <c r="E30" s="10" t="s">
        <v>29</v>
      </c>
      <c r="F30" s="10" t="s">
        <v>30</v>
      </c>
      <c r="G30" s="10" t="s">
        <v>24</v>
      </c>
      <c r="H30" s="10" t="s">
        <v>63</v>
      </c>
      <c r="I30" s="10" t="n">
        <v>3</v>
      </c>
      <c r="J30" s="12" t="n">
        <v>549</v>
      </c>
      <c r="K30" s="12" t="n">
        <v>0.05</v>
      </c>
      <c r="L30" s="13" t="n">
        <f aca="false">I30*J30</f>
        <v>1647</v>
      </c>
      <c r="M30" s="13" t="n">
        <f aca="false">L30*K30</f>
        <v>82.35</v>
      </c>
      <c r="N30" s="13" t="n">
        <f aca="false">L30-M30</f>
        <v>1564.65</v>
      </c>
      <c r="O30" s="10" t="s">
        <v>26</v>
      </c>
      <c r="P30" s="10" t="s">
        <v>19</v>
      </c>
      <c r="Q30" s="10" t="n">
        <f aca="false">IF(P30="Y",1,0)</f>
        <v>0</v>
      </c>
    </row>
    <row r="31" customFormat="false" ht="15" hidden="false" customHeight="true" outlineLevel="0" collapsed="false">
      <c r="A31" s="6" t="s">
        <v>97</v>
      </c>
      <c r="B31" s="7" t="n">
        <v>45412</v>
      </c>
      <c r="C31" s="6" t="s">
        <v>132</v>
      </c>
      <c r="D31" s="6" t="s">
        <v>133</v>
      </c>
      <c r="E31" s="6" t="s">
        <v>14</v>
      </c>
      <c r="F31" s="6" t="s">
        <v>15</v>
      </c>
      <c r="G31" s="6" t="s">
        <v>16</v>
      </c>
      <c r="H31" s="6" t="s">
        <v>31</v>
      </c>
      <c r="I31" s="6" t="n">
        <v>6</v>
      </c>
      <c r="J31" s="8" t="n">
        <v>499</v>
      </c>
      <c r="K31" s="8" t="n">
        <v>0</v>
      </c>
      <c r="L31" s="9" t="n">
        <f aca="false">I31*J31</f>
        <v>2994</v>
      </c>
      <c r="M31" s="9" t="n">
        <f aca="false">L31*K31</f>
        <v>0</v>
      </c>
      <c r="N31" s="9" t="n">
        <f aca="false">L31-M31</f>
        <v>2994</v>
      </c>
      <c r="O31" s="6" t="s">
        <v>18</v>
      </c>
      <c r="P31" s="6" t="s">
        <v>19</v>
      </c>
      <c r="Q31" s="6" t="n">
        <f aca="false">IF(P31="Y",1,0)</f>
        <v>0</v>
      </c>
    </row>
    <row r="32" customFormat="false" ht="15" hidden="false" customHeight="true" outlineLevel="0" collapsed="false">
      <c r="A32" s="10" t="s">
        <v>99</v>
      </c>
      <c r="B32" s="11" t="n">
        <v>45416</v>
      </c>
      <c r="C32" s="10" t="s">
        <v>134</v>
      </c>
      <c r="D32" s="10" t="s">
        <v>133</v>
      </c>
      <c r="E32" s="10" t="s">
        <v>38</v>
      </c>
      <c r="F32" s="10" t="s">
        <v>39</v>
      </c>
      <c r="G32" s="10" t="s">
        <v>34</v>
      </c>
      <c r="H32" s="10" t="s">
        <v>47</v>
      </c>
      <c r="I32" s="10" t="n">
        <v>45</v>
      </c>
      <c r="J32" s="12" t="n">
        <v>12.5</v>
      </c>
      <c r="K32" s="12" t="n">
        <v>0.1</v>
      </c>
      <c r="L32" s="13" t="n">
        <f aca="false">I32*J32</f>
        <v>562.5</v>
      </c>
      <c r="M32" s="13" t="n">
        <f aca="false">L32*K32</f>
        <v>56.25</v>
      </c>
      <c r="N32" s="13" t="n">
        <f aca="false">L32-M32</f>
        <v>506.25</v>
      </c>
      <c r="O32" s="10" t="s">
        <v>26</v>
      </c>
      <c r="P32" s="10" t="s">
        <v>19</v>
      </c>
      <c r="Q32" s="10" t="n">
        <f aca="false">IF(P32="Y",1,0)</f>
        <v>0</v>
      </c>
    </row>
    <row r="33" customFormat="false" ht="15" hidden="false" customHeight="true" outlineLevel="0" collapsed="false">
      <c r="A33" s="6" t="s">
        <v>101</v>
      </c>
      <c r="B33" s="7" t="n">
        <v>45420</v>
      </c>
      <c r="C33" s="6" t="s">
        <v>134</v>
      </c>
      <c r="D33" s="6" t="s">
        <v>133</v>
      </c>
      <c r="E33" s="6" t="s">
        <v>22</v>
      </c>
      <c r="F33" s="6" t="s">
        <v>23</v>
      </c>
      <c r="G33" s="6" t="s">
        <v>16</v>
      </c>
      <c r="H33" s="6" t="s">
        <v>40</v>
      </c>
      <c r="I33" s="6" t="n">
        <v>3</v>
      </c>
      <c r="J33" s="8" t="n">
        <v>899</v>
      </c>
      <c r="K33" s="8" t="n">
        <v>0.05</v>
      </c>
      <c r="L33" s="9" t="n">
        <f aca="false">I33*J33</f>
        <v>2697</v>
      </c>
      <c r="M33" s="9" t="n">
        <f aca="false">L33*K33</f>
        <v>134.85</v>
      </c>
      <c r="N33" s="9" t="n">
        <f aca="false">L33-M33</f>
        <v>2562.15</v>
      </c>
      <c r="O33" s="6" t="s">
        <v>18</v>
      </c>
      <c r="P33" s="6" t="s">
        <v>19</v>
      </c>
      <c r="Q33" s="6" t="n">
        <f aca="false">IF(P33="Y",1,0)</f>
        <v>0</v>
      </c>
    </row>
    <row r="34" customFormat="false" ht="15" hidden="false" customHeight="true" outlineLevel="0" collapsed="false">
      <c r="A34" s="10" t="s">
        <v>103</v>
      </c>
      <c r="B34" s="11" t="n">
        <v>45424</v>
      </c>
      <c r="C34" s="10" t="s">
        <v>134</v>
      </c>
      <c r="D34" s="10" t="s">
        <v>133</v>
      </c>
      <c r="E34" s="10" t="s">
        <v>46</v>
      </c>
      <c r="F34" s="10" t="s">
        <v>15</v>
      </c>
      <c r="G34" s="10" t="s">
        <v>24</v>
      </c>
      <c r="H34" s="10" t="s">
        <v>25</v>
      </c>
      <c r="I34" s="10" t="n">
        <v>4</v>
      </c>
      <c r="J34" s="12" t="n">
        <v>349.5</v>
      </c>
      <c r="K34" s="12" t="n">
        <v>0.1</v>
      </c>
      <c r="L34" s="13" t="n">
        <f aca="false">I34*J34</f>
        <v>1398</v>
      </c>
      <c r="M34" s="13" t="n">
        <f aca="false">L34*K34</f>
        <v>139.8</v>
      </c>
      <c r="N34" s="13" t="n">
        <f aca="false">L34-M34</f>
        <v>1258.2</v>
      </c>
      <c r="O34" s="10" t="s">
        <v>18</v>
      </c>
      <c r="P34" s="10" t="s">
        <v>19</v>
      </c>
      <c r="Q34" s="10" t="n">
        <f aca="false">IF(P34="Y",1,0)</f>
        <v>0</v>
      </c>
    </row>
    <row r="35" customFormat="false" ht="15" hidden="false" customHeight="true" outlineLevel="0" collapsed="false">
      <c r="A35" s="6" t="s">
        <v>105</v>
      </c>
      <c r="B35" s="7" t="n">
        <v>45428</v>
      </c>
      <c r="C35" s="6" t="s">
        <v>134</v>
      </c>
      <c r="D35" s="6" t="s">
        <v>133</v>
      </c>
      <c r="E35" s="6" t="s">
        <v>29</v>
      </c>
      <c r="F35" s="6" t="s">
        <v>30</v>
      </c>
      <c r="G35" s="6" t="s">
        <v>16</v>
      </c>
      <c r="H35" s="6" t="s">
        <v>17</v>
      </c>
      <c r="I35" s="6" t="n">
        <v>1</v>
      </c>
      <c r="J35" s="8" t="n">
        <v>1299.99</v>
      </c>
      <c r="K35" s="8" t="n">
        <v>0</v>
      </c>
      <c r="L35" s="9" t="n">
        <f aca="false">I35*J35</f>
        <v>1299.99</v>
      </c>
      <c r="M35" s="9" t="n">
        <f aca="false">L35*K35</f>
        <v>0</v>
      </c>
      <c r="N35" s="9" t="n">
        <f aca="false">L35-M35</f>
        <v>1299.99</v>
      </c>
      <c r="O35" s="6" t="s">
        <v>26</v>
      </c>
      <c r="P35" s="6" t="s">
        <v>19</v>
      </c>
      <c r="Q35" s="6" t="n">
        <f aca="false">IF(P35="Y",1,0)</f>
        <v>0</v>
      </c>
    </row>
    <row r="36" customFormat="false" ht="15" hidden="false" customHeight="true" outlineLevel="0" collapsed="false">
      <c r="A36" s="10" t="s">
        <v>107</v>
      </c>
      <c r="B36" s="11" t="n">
        <v>45432</v>
      </c>
      <c r="C36" s="10" t="s">
        <v>134</v>
      </c>
      <c r="D36" s="10" t="s">
        <v>133</v>
      </c>
      <c r="E36" s="10" t="s">
        <v>14</v>
      </c>
      <c r="F36" s="10" t="s">
        <v>15</v>
      </c>
      <c r="G36" s="10" t="s">
        <v>34</v>
      </c>
      <c r="H36" s="10" t="s">
        <v>69</v>
      </c>
      <c r="I36" s="10" t="n">
        <v>200</v>
      </c>
      <c r="J36" s="12" t="n">
        <v>0.05</v>
      </c>
      <c r="K36" s="12" t="n">
        <v>0.25</v>
      </c>
      <c r="L36" s="13" t="n">
        <f aca="false">I36*J36</f>
        <v>10</v>
      </c>
      <c r="M36" s="13" t="n">
        <f aca="false">L36*K36</f>
        <v>2.5</v>
      </c>
      <c r="N36" s="13" t="n">
        <f aca="false">L36-M36</f>
        <v>7.5</v>
      </c>
      <c r="O36" s="10" t="s">
        <v>18</v>
      </c>
      <c r="P36" s="10" t="s">
        <v>19</v>
      </c>
      <c r="Q36" s="10" t="n">
        <f aca="false">IF(P36="Y",1,0)</f>
        <v>0</v>
      </c>
    </row>
    <row r="37" customFormat="false" ht="15" hidden="false" customHeight="true" outlineLevel="0" collapsed="false">
      <c r="A37" s="6" t="s">
        <v>109</v>
      </c>
      <c r="B37" s="7" t="n">
        <v>45436</v>
      </c>
      <c r="C37" s="6" t="s">
        <v>134</v>
      </c>
      <c r="D37" s="6" t="s">
        <v>133</v>
      </c>
      <c r="E37" s="6" t="s">
        <v>38</v>
      </c>
      <c r="F37" s="6" t="s">
        <v>39</v>
      </c>
      <c r="G37" s="6" t="s">
        <v>24</v>
      </c>
      <c r="H37" s="6" t="s">
        <v>43</v>
      </c>
      <c r="I37" s="6" t="n">
        <v>3</v>
      </c>
      <c r="J37" s="8" t="n">
        <v>699</v>
      </c>
      <c r="K37" s="8" t="n">
        <v>0.1</v>
      </c>
      <c r="L37" s="9" t="n">
        <f aca="false">I37*J37</f>
        <v>2097</v>
      </c>
      <c r="M37" s="9" t="n">
        <f aca="false">L37*K37</f>
        <v>209.7</v>
      </c>
      <c r="N37" s="9" t="n">
        <f aca="false">L37-M37</f>
        <v>1887.3</v>
      </c>
      <c r="O37" s="6" t="s">
        <v>18</v>
      </c>
      <c r="P37" s="6" t="s">
        <v>19</v>
      </c>
      <c r="Q37" s="6" t="n">
        <f aca="false">IF(P37="Y",1,0)</f>
        <v>0</v>
      </c>
    </row>
    <row r="38" customFormat="false" ht="15" hidden="false" customHeight="true" outlineLevel="0" collapsed="false">
      <c r="A38" s="10" t="s">
        <v>111</v>
      </c>
      <c r="B38" s="11" t="n">
        <v>45440</v>
      </c>
      <c r="C38" s="10" t="s">
        <v>134</v>
      </c>
      <c r="D38" s="10" t="s">
        <v>133</v>
      </c>
      <c r="E38" s="10" t="s">
        <v>22</v>
      </c>
      <c r="F38" s="10" t="s">
        <v>23</v>
      </c>
      <c r="G38" s="10" t="s">
        <v>16</v>
      </c>
      <c r="H38" s="10" t="s">
        <v>50</v>
      </c>
      <c r="I38" s="10" t="n">
        <v>5</v>
      </c>
      <c r="J38" s="12" t="n">
        <v>429.99</v>
      </c>
      <c r="K38" s="12" t="n">
        <v>0.05</v>
      </c>
      <c r="L38" s="13" t="n">
        <f aca="false">I38*J38</f>
        <v>2149.95</v>
      </c>
      <c r="M38" s="13" t="n">
        <f aca="false">L38*K38</f>
        <v>107.4975</v>
      </c>
      <c r="N38" s="13" t="n">
        <f aca="false">L38-M38</f>
        <v>2042.4525</v>
      </c>
      <c r="O38" s="10" t="s">
        <v>26</v>
      </c>
      <c r="P38" s="10" t="s">
        <v>19</v>
      </c>
      <c r="Q38" s="10" t="n">
        <f aca="false">IF(P38="Y",1,0)</f>
        <v>0</v>
      </c>
    </row>
    <row r="39" customFormat="false" ht="15" hidden="false" customHeight="true" outlineLevel="0" collapsed="false">
      <c r="A39" s="6" t="s">
        <v>113</v>
      </c>
      <c r="B39" s="7" t="n">
        <v>45445</v>
      </c>
      <c r="C39" s="6" t="s">
        <v>135</v>
      </c>
      <c r="D39" s="6" t="s">
        <v>133</v>
      </c>
      <c r="E39" s="6" t="s">
        <v>46</v>
      </c>
      <c r="F39" s="6" t="s">
        <v>15</v>
      </c>
      <c r="G39" s="6" t="s">
        <v>16</v>
      </c>
      <c r="H39" s="6" t="s">
        <v>31</v>
      </c>
      <c r="I39" s="6" t="n">
        <v>4</v>
      </c>
      <c r="J39" s="8" t="n">
        <v>499</v>
      </c>
      <c r="K39" s="8" t="n">
        <v>0.08</v>
      </c>
      <c r="L39" s="9" t="n">
        <f aca="false">I39*J39</f>
        <v>1996</v>
      </c>
      <c r="M39" s="9" t="n">
        <f aca="false">L39*K39</f>
        <v>159.68</v>
      </c>
      <c r="N39" s="9" t="n">
        <f aca="false">L39-M39</f>
        <v>1836.32</v>
      </c>
      <c r="O39" s="6" t="s">
        <v>18</v>
      </c>
      <c r="P39" s="6" t="s">
        <v>19</v>
      </c>
      <c r="Q39" s="6" t="n">
        <f aca="false">IF(P39="Y",1,0)</f>
        <v>0</v>
      </c>
    </row>
    <row r="40" customFormat="false" ht="15" hidden="false" customHeight="true" outlineLevel="0" collapsed="false">
      <c r="A40" s="10" t="s">
        <v>115</v>
      </c>
      <c r="B40" s="11" t="n">
        <v>45449</v>
      </c>
      <c r="C40" s="10" t="s">
        <v>135</v>
      </c>
      <c r="D40" s="10" t="s">
        <v>133</v>
      </c>
      <c r="E40" s="10" t="s">
        <v>29</v>
      </c>
      <c r="F40" s="10" t="s">
        <v>30</v>
      </c>
      <c r="G40" s="10" t="s">
        <v>34</v>
      </c>
      <c r="H40" s="10" t="s">
        <v>35</v>
      </c>
      <c r="I40" s="10" t="n">
        <v>60</v>
      </c>
      <c r="J40" s="12" t="n">
        <v>4.99</v>
      </c>
      <c r="K40" s="12" t="n">
        <v>0.15</v>
      </c>
      <c r="L40" s="13" t="n">
        <f aca="false">I40*J40</f>
        <v>299.4</v>
      </c>
      <c r="M40" s="13" t="n">
        <f aca="false">L40*K40</f>
        <v>44.91</v>
      </c>
      <c r="N40" s="13" t="n">
        <f aca="false">L40-M40</f>
        <v>254.49</v>
      </c>
      <c r="O40" s="10" t="s">
        <v>26</v>
      </c>
      <c r="P40" s="10" t="s">
        <v>19</v>
      </c>
      <c r="Q40" s="10" t="n">
        <f aca="false">IF(P40="Y",1,0)</f>
        <v>0</v>
      </c>
    </row>
    <row r="41" customFormat="false" ht="15" hidden="false" customHeight="true" outlineLevel="0" collapsed="false">
      <c r="A41" s="6" t="s">
        <v>117</v>
      </c>
      <c r="B41" s="7" t="n">
        <v>45453</v>
      </c>
      <c r="C41" s="6" t="s">
        <v>135</v>
      </c>
      <c r="D41" s="6" t="s">
        <v>133</v>
      </c>
      <c r="E41" s="6" t="s">
        <v>14</v>
      </c>
      <c r="F41" s="6" t="s">
        <v>15</v>
      </c>
      <c r="G41" s="6" t="s">
        <v>24</v>
      </c>
      <c r="H41" s="6" t="s">
        <v>63</v>
      </c>
      <c r="I41" s="6" t="n">
        <v>2</v>
      </c>
      <c r="J41" s="8" t="n">
        <v>549</v>
      </c>
      <c r="K41" s="8" t="n">
        <v>0.05</v>
      </c>
      <c r="L41" s="9" t="n">
        <f aca="false">I41*J41</f>
        <v>1098</v>
      </c>
      <c r="M41" s="9" t="n">
        <f aca="false">L41*K41</f>
        <v>54.9</v>
      </c>
      <c r="N41" s="9" t="n">
        <f aca="false">L41-M41</f>
        <v>1043.1</v>
      </c>
      <c r="O41" s="6" t="s">
        <v>18</v>
      </c>
      <c r="P41" s="6" t="s">
        <v>64</v>
      </c>
      <c r="Q41" s="6" t="n">
        <f aca="false">IF(P41="Y",1,0)</f>
        <v>1</v>
      </c>
    </row>
    <row r="42" customFormat="false" ht="15" hidden="false" customHeight="true" outlineLevel="0" collapsed="false">
      <c r="A42" s="10" t="s">
        <v>119</v>
      </c>
      <c r="B42" s="11" t="n">
        <v>45457</v>
      </c>
      <c r="C42" s="10" t="s">
        <v>135</v>
      </c>
      <c r="D42" s="10" t="s">
        <v>133</v>
      </c>
      <c r="E42" s="10" t="s">
        <v>38</v>
      </c>
      <c r="F42" s="10" t="s">
        <v>39</v>
      </c>
      <c r="G42" s="10" t="s">
        <v>16</v>
      </c>
      <c r="H42" s="10" t="s">
        <v>40</v>
      </c>
      <c r="I42" s="10" t="n">
        <v>5</v>
      </c>
      <c r="J42" s="12" t="n">
        <v>899</v>
      </c>
      <c r="K42" s="12" t="n">
        <v>0.1</v>
      </c>
      <c r="L42" s="13" t="n">
        <f aca="false">I42*J42</f>
        <v>4495</v>
      </c>
      <c r="M42" s="13" t="n">
        <f aca="false">L42*K42</f>
        <v>449.5</v>
      </c>
      <c r="N42" s="13" t="n">
        <f aca="false">L42-M42</f>
        <v>4045.5</v>
      </c>
      <c r="O42" s="10" t="s">
        <v>18</v>
      </c>
      <c r="P42" s="10" t="s">
        <v>19</v>
      </c>
      <c r="Q42" s="10" t="n">
        <f aca="false">IF(P42="Y",1,0)</f>
        <v>0</v>
      </c>
    </row>
    <row r="45" customFormat="false" ht="15" hidden="false" customHeight="true" outlineLevel="0" collapsed="false">
      <c r="A45" s="14" t="s">
        <v>136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</row>
    <row r="46" customFormat="false" ht="15" hidden="false" customHeight="true" outlineLevel="0" collapsed="false">
      <c r="A46" s="15" t="s">
        <v>137</v>
      </c>
      <c r="B46" s="15" t="s">
        <v>138</v>
      </c>
      <c r="C46" s="15" t="s">
        <v>139</v>
      </c>
    </row>
    <row r="47" customFormat="false" ht="15" hidden="false" customHeight="true" outlineLevel="0" collapsed="false">
      <c r="A47" s="16" t="s">
        <v>140</v>
      </c>
      <c r="B47" s="16" t="s">
        <v>141</v>
      </c>
      <c r="C47" s="16" t="s">
        <v>142</v>
      </c>
    </row>
    <row r="48" customFormat="false" ht="15" hidden="false" customHeight="true" outlineLevel="0" collapsed="false">
      <c r="A48" s="16" t="s">
        <v>143</v>
      </c>
      <c r="B48" s="16" t="s">
        <v>144</v>
      </c>
      <c r="C48" s="16" t="s">
        <v>145</v>
      </c>
    </row>
    <row r="49" customFormat="false" ht="15" hidden="false" customHeight="true" outlineLevel="0" collapsed="false">
      <c r="A49" s="16" t="s">
        <v>146</v>
      </c>
      <c r="B49" s="16" t="s">
        <v>147</v>
      </c>
      <c r="C49" s="16" t="s">
        <v>148</v>
      </c>
    </row>
    <row r="50" customFormat="false" ht="15" hidden="false" customHeight="true" outlineLevel="0" collapsed="false">
      <c r="A50" s="16" t="s">
        <v>149</v>
      </c>
      <c r="B50" s="16" t="s">
        <v>150</v>
      </c>
      <c r="C50" s="16" t="s">
        <v>151</v>
      </c>
    </row>
    <row r="51" customFormat="false" ht="15" hidden="false" customHeight="true" outlineLevel="0" collapsed="false">
      <c r="A51" s="16" t="s">
        <v>152</v>
      </c>
      <c r="B51" s="16" t="s">
        <v>153</v>
      </c>
      <c r="C51" s="16" t="s">
        <v>154</v>
      </c>
    </row>
    <row r="52" customFormat="false" ht="15" hidden="false" customHeight="true" outlineLevel="0" collapsed="false">
      <c r="A52" s="16" t="s">
        <v>155</v>
      </c>
      <c r="B52" s="16" t="s">
        <v>156</v>
      </c>
      <c r="C52" s="16" t="s">
        <v>157</v>
      </c>
    </row>
    <row r="53" customFormat="false" ht="15" hidden="false" customHeight="true" outlineLevel="0" collapsed="false">
      <c r="A53" s="16" t="s">
        <v>158</v>
      </c>
      <c r="B53" s="16" t="s">
        <v>159</v>
      </c>
      <c r="C53" s="16" t="s">
        <v>160</v>
      </c>
    </row>
    <row r="54" customFormat="false" ht="15" hidden="false" customHeight="true" outlineLevel="0" collapsed="false">
      <c r="A54" s="16" t="s">
        <v>161</v>
      </c>
      <c r="B54" s="16" t="s">
        <v>162</v>
      </c>
      <c r="C54" s="16" t="s">
        <v>163</v>
      </c>
    </row>
    <row r="55" customFormat="false" ht="15" hidden="false" customHeight="true" outlineLevel="0" collapsed="false">
      <c r="A55" s="16" t="s">
        <v>164</v>
      </c>
      <c r="B55" s="16" t="s">
        <v>165</v>
      </c>
      <c r="C55" s="16" t="s">
        <v>166</v>
      </c>
    </row>
  </sheetData>
  <autoFilter ref="A2:Q2"/>
  <mergeCells count="2">
    <mergeCell ref="A1:Q1"/>
    <mergeCell ref="A45:Q45"/>
  </mergeCells>
  <conditionalFormatting sqref="N3:N4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7" min="5" style="1" width="14"/>
  </cols>
  <sheetData>
    <row r="1" customFormat="false" ht="27.75" hidden="false" customHeight="true" outlineLevel="0" collapsed="false">
      <c r="A1" s="2" t="s">
        <v>167</v>
      </c>
      <c r="B1" s="2"/>
      <c r="C1" s="2"/>
      <c r="D1" s="2"/>
      <c r="E1" s="2"/>
      <c r="F1" s="2"/>
      <c r="G1" s="2"/>
    </row>
    <row r="3" customFormat="false" ht="21.75" hidden="false" customHeight="true" outlineLevel="0" collapsed="false">
      <c r="A3" s="14" t="s">
        <v>168</v>
      </c>
      <c r="B3" s="14"/>
      <c r="C3" s="14"/>
      <c r="D3" s="14"/>
      <c r="E3" s="14"/>
      <c r="F3" s="14"/>
      <c r="G3" s="14"/>
    </row>
    <row r="4" customFormat="false" ht="15" hidden="false" customHeight="true" outlineLevel="0" collapsed="false">
      <c r="A4" s="17" t="s">
        <v>169</v>
      </c>
      <c r="B4" s="18" t="n">
        <f aca="false">SUM('Cleaned Data'!N3:N42)</f>
        <v>57321.0816</v>
      </c>
      <c r="C4" s="19" t="n">
        <f aca="false">SUM('Cleaned Data'!N3:N42)</f>
        <v>57321.0816</v>
      </c>
      <c r="D4" s="20" t="s">
        <v>170</v>
      </c>
      <c r="E4" s="20"/>
      <c r="F4" s="20"/>
      <c r="G4" s="20"/>
    </row>
    <row r="5" customFormat="false" ht="15" hidden="false" customHeight="true" outlineLevel="0" collapsed="false">
      <c r="A5" s="17" t="s">
        <v>171</v>
      </c>
      <c r="B5" s="18" t="n">
        <f aca="false">AVERAGE('Cleaned Data'!N3:N42)</f>
        <v>1433.02704</v>
      </c>
      <c r="C5" s="19" t="n">
        <f aca="false">AVERAGE('Cleaned Data'!N3:N42)</f>
        <v>1433.02704</v>
      </c>
      <c r="D5" s="20" t="s">
        <v>172</v>
      </c>
      <c r="E5" s="20"/>
      <c r="F5" s="20"/>
      <c r="G5" s="20"/>
    </row>
    <row r="6" customFormat="false" ht="15" hidden="false" customHeight="true" outlineLevel="0" collapsed="false">
      <c r="A6" s="17" t="s">
        <v>173</v>
      </c>
      <c r="B6" s="18" t="n">
        <f aca="false">MAX('Cleaned Data'!N3:N42)</f>
        <v>4045.5</v>
      </c>
      <c r="C6" s="19" t="n">
        <f aca="false">MAX('Cleaned Data'!N3:N42)</f>
        <v>4045.5</v>
      </c>
      <c r="D6" s="20" t="s">
        <v>174</v>
      </c>
      <c r="E6" s="20"/>
      <c r="F6" s="20"/>
      <c r="G6" s="20"/>
    </row>
    <row r="7" customFormat="false" ht="15" hidden="false" customHeight="true" outlineLevel="0" collapsed="false">
      <c r="A7" s="17" t="s">
        <v>175</v>
      </c>
      <c r="B7" s="18" t="n">
        <f aca="false">MIN('Cleaned Data'!N3:N42)</f>
        <v>4</v>
      </c>
      <c r="C7" s="19" t="n">
        <f aca="false">MIN('Cleaned Data'!N3:N42)</f>
        <v>4</v>
      </c>
      <c r="D7" s="20" t="s">
        <v>176</v>
      </c>
      <c r="E7" s="20"/>
      <c r="F7" s="20"/>
      <c r="G7" s="20"/>
    </row>
    <row r="8" customFormat="false" ht="15" hidden="false" customHeight="true" outlineLevel="0" collapsed="false">
      <c r="A8" s="17" t="s">
        <v>177</v>
      </c>
      <c r="B8" s="21" t="n">
        <f aca="false">MEDIAN('Cleaned Data'!N3:N42)</f>
        <v>1279.095</v>
      </c>
      <c r="C8" s="19" t="n">
        <f aca="false">MEDIAN('Cleaned Data'!N3:N42)</f>
        <v>1279.095</v>
      </c>
      <c r="D8" s="20" t="s">
        <v>178</v>
      </c>
      <c r="E8" s="20"/>
      <c r="F8" s="20"/>
      <c r="G8" s="20"/>
    </row>
    <row r="9" customFormat="false" ht="15" hidden="false" customHeight="true" outlineLevel="0" collapsed="false">
      <c r="A9" s="17" t="s">
        <v>179</v>
      </c>
      <c r="B9" s="21" t="n">
        <f aca="false">COUNTA('Cleaned Data'!A3:A42)</f>
        <v>40</v>
      </c>
      <c r="C9" s="19" t="n">
        <f aca="false">COUNTA('Cleaned Data'!A3:A42)</f>
        <v>40</v>
      </c>
      <c r="D9" s="20" t="s">
        <v>180</v>
      </c>
      <c r="E9" s="20"/>
      <c r="F9" s="20"/>
      <c r="G9" s="20"/>
    </row>
    <row r="11" customFormat="false" ht="21.75" hidden="false" customHeight="true" outlineLevel="0" collapsed="false">
      <c r="A11" s="14" t="s">
        <v>181</v>
      </c>
      <c r="B11" s="14"/>
      <c r="C11" s="14"/>
      <c r="D11" s="14"/>
      <c r="E11" s="14"/>
      <c r="F11" s="14"/>
      <c r="G11" s="14"/>
    </row>
    <row r="12" customFormat="false" ht="15" hidden="false" customHeight="true" outlineLevel="0" collapsed="false">
      <c r="A12" s="17" t="s">
        <v>182</v>
      </c>
      <c r="B12" s="21" t="n">
        <f aca="false">SUMIF('Cleaned Data'!G3:G42,"Electronics",'Cleaned Data'!N3:N42)</f>
        <v>42153.8666</v>
      </c>
      <c r="C12" s="19" t="n">
        <f aca="false">SUMIF('Cleaned Data'!G3:G42,"Electronics",'Cleaned Data'!N3:N42)</f>
        <v>42153.8666</v>
      </c>
      <c r="D12" s="20" t="s">
        <v>183</v>
      </c>
      <c r="E12" s="20"/>
      <c r="F12" s="20"/>
      <c r="G12" s="20"/>
    </row>
    <row r="13" customFormat="false" ht="15" hidden="false" customHeight="true" outlineLevel="0" collapsed="false">
      <c r="A13" s="17" t="s">
        <v>184</v>
      </c>
      <c r="B13" s="21" t="n">
        <f aca="false">SUMIF('Cleaned Data'!F3:F42,"North",'Cleaned Data'!N3:N42)</f>
        <v>19255.5892</v>
      </c>
      <c r="C13" s="19" t="n">
        <f aca="false">SUMIF('Cleaned Data'!F3:F42,"North",'Cleaned Data'!N3:N42)</f>
        <v>19255.5892</v>
      </c>
      <c r="D13" s="20" t="s">
        <v>185</v>
      </c>
      <c r="E13" s="20"/>
      <c r="F13" s="20"/>
      <c r="G13" s="20"/>
    </row>
    <row r="14" customFormat="false" ht="15" hidden="false" customHeight="true" outlineLevel="0" collapsed="false">
      <c r="A14" s="17" t="s">
        <v>186</v>
      </c>
      <c r="B14" s="21" t="n">
        <f aca="false">SUMIF('Cleaned Data'!O3:O42,"Business",'Cleaned Data'!N3:N42)</f>
        <v>42896.3526</v>
      </c>
      <c r="C14" s="19" t="n">
        <f aca="false">SUMIF('Cleaned Data'!O3:O42,"Business",'Cleaned Data'!N3:N42)</f>
        <v>42896.3526</v>
      </c>
      <c r="D14" s="20" t="s">
        <v>187</v>
      </c>
      <c r="E14" s="20"/>
      <c r="F14" s="20"/>
      <c r="G14" s="20"/>
    </row>
    <row r="15" customFormat="false" ht="15" hidden="false" customHeight="true" outlineLevel="0" collapsed="false">
      <c r="A15" s="17" t="s">
        <v>188</v>
      </c>
      <c r="B15" s="21" t="n">
        <f aca="false">SUMIF('Cleaned Data'!E3:E42,"Alice",'Cleaned Data'!N3:N42)</f>
        <v>10938.406</v>
      </c>
      <c r="C15" s="19" t="n">
        <f aca="false">SUMIF('Cleaned Data'!E3:E42,"Alice",'Cleaned Data'!N3:N42)</f>
        <v>10938.406</v>
      </c>
      <c r="D15" s="20" t="s">
        <v>189</v>
      </c>
      <c r="E15" s="20"/>
      <c r="F15" s="20"/>
      <c r="G15" s="20"/>
    </row>
    <row r="16" customFormat="false" ht="15" hidden="false" customHeight="true" outlineLevel="0" collapsed="false">
      <c r="A16" s="17" t="s">
        <v>190</v>
      </c>
      <c r="B16" s="21" t="n">
        <f aca="false">SUMIFS('Cleaned Data'!N3:N42,'Cleaned Data'!G3:G42,"Electronics",'Cleaned Data'!F3:F42,"North")</f>
        <v>14145.9642</v>
      </c>
      <c r="C16" s="19" t="n">
        <f aca="false">SUMIFS('Cleaned Data'!N3:N42,'Cleaned Data'!G3:G42,"Electronics",'Cleaned Data'!F3:F42,"North")</f>
        <v>14145.9642</v>
      </c>
      <c r="D16" s="20" t="s">
        <v>191</v>
      </c>
      <c r="E16" s="20"/>
      <c r="F16" s="20"/>
      <c r="G16" s="20"/>
    </row>
    <row r="17" customFormat="false" ht="15" hidden="false" customHeight="true" outlineLevel="0" collapsed="false">
      <c r="A17" s="17" t="s">
        <v>192</v>
      </c>
      <c r="B17" s="21" t="n">
        <f aca="false">COUNTIF('Cleaned Data'!G3:G42,"Electronics")</f>
        <v>19</v>
      </c>
      <c r="C17" s="19" t="n">
        <f aca="false">COUNTIF('Cleaned Data'!G3:G42,"Electronics")</f>
        <v>19</v>
      </c>
      <c r="D17" s="20" t="s">
        <v>193</v>
      </c>
      <c r="E17" s="20"/>
      <c r="F17" s="20"/>
      <c r="G17" s="20"/>
    </row>
    <row r="18" customFormat="false" ht="15" hidden="false" customHeight="true" outlineLevel="0" collapsed="false">
      <c r="A18" s="17" t="s">
        <v>194</v>
      </c>
      <c r="B18" s="21" t="n">
        <f aca="false">COUNTIF('Cleaned Data'!O3:O42,"Business")</f>
        <v>24</v>
      </c>
      <c r="C18" s="19" t="n">
        <f aca="false">COUNTIF('Cleaned Data'!O3:O42,"Business")</f>
        <v>24</v>
      </c>
      <c r="D18" s="20" t="s">
        <v>195</v>
      </c>
      <c r="E18" s="20"/>
      <c r="F18" s="20"/>
      <c r="G18" s="20"/>
    </row>
    <row r="19" customFormat="false" ht="15" hidden="false" customHeight="true" outlineLevel="0" collapsed="false">
      <c r="A19" s="17" t="s">
        <v>196</v>
      </c>
      <c r="B19" s="21" t="n">
        <f aca="false">COUNTIF('Cleaned Data'!P3:P42,"Y")</f>
        <v>3</v>
      </c>
      <c r="C19" s="19" t="n">
        <f aca="false">COUNTIF('Cleaned Data'!P3:P42,"Y")</f>
        <v>3</v>
      </c>
      <c r="D19" s="20" t="s">
        <v>197</v>
      </c>
      <c r="E19" s="20"/>
      <c r="F19" s="20"/>
      <c r="G19" s="20"/>
    </row>
    <row r="21" customFormat="false" ht="21.75" hidden="false" customHeight="true" outlineLevel="0" collapsed="false">
      <c r="A21" s="14" t="s">
        <v>198</v>
      </c>
      <c r="B21" s="14"/>
      <c r="C21" s="14"/>
      <c r="D21" s="14"/>
      <c r="E21" s="14"/>
      <c r="F21" s="14"/>
      <c r="G21" s="14"/>
    </row>
    <row r="22" customFormat="false" ht="15" hidden="false" customHeight="true" outlineLevel="0" collapsed="false">
      <c r="D22" s="22" t="s">
        <v>1</v>
      </c>
      <c r="E22" s="22" t="s">
        <v>3</v>
      </c>
      <c r="F22" s="22" t="s">
        <v>126</v>
      </c>
    </row>
    <row r="23" customFormat="false" ht="15" hidden="false" customHeight="true" outlineLevel="0" collapsed="false">
      <c r="A23" s="23" t="s">
        <v>199</v>
      </c>
      <c r="B23" s="24" t="s">
        <v>54</v>
      </c>
    </row>
    <row r="24" customFormat="false" ht="15" hidden="false" customHeight="true" outlineLevel="0" collapsed="false">
      <c r="A24" s="17" t="s">
        <v>200</v>
      </c>
      <c r="B24" s="21" t="str">
        <f aca="false">VLOOKUP(B23,'Cleaned Data'!A3:Q42,5,FALSE())</f>
        <v>Dave</v>
      </c>
      <c r="C24" s="25" t="str">
        <f aca="false">VLOOKUP(B23,'Cleaned Data'!A3:Q42,5,FALSE())</f>
        <v>Dave</v>
      </c>
      <c r="D24" s="20" t="s">
        <v>201</v>
      </c>
      <c r="E24" s="20"/>
      <c r="F24" s="20"/>
      <c r="G24" s="20"/>
    </row>
    <row r="25" customFormat="false" ht="15" hidden="false" customHeight="true" outlineLevel="0" collapsed="false">
      <c r="A25" s="17" t="s">
        <v>202</v>
      </c>
      <c r="B25" s="21" t="n">
        <f aca="false">VLOOKUP(B23,'Cleaned Data'!A3:Q42,14,FALSE())</f>
        <v>1169.991</v>
      </c>
      <c r="C25" s="19" t="n">
        <f aca="false">VLOOKUP(B23,'Cleaned Data'!A3:Q42,14,FALSE())</f>
        <v>1169.991</v>
      </c>
      <c r="D25" s="20" t="s">
        <v>203</v>
      </c>
      <c r="E25" s="20"/>
      <c r="F25" s="20"/>
      <c r="G25" s="20"/>
    </row>
    <row r="26" customFormat="false" ht="15" hidden="false" customHeight="true" outlineLevel="0" collapsed="false">
      <c r="A26" s="17" t="s">
        <v>204</v>
      </c>
      <c r="B26" s="21" t="str">
        <f aca="false">INDEX('Cleaned Data'!E3:E42,MATCH(B23,'Cleaned Data'!A3:A42,0))</f>
        <v>Dave</v>
      </c>
      <c r="C26" s="25" t="str">
        <f aca="false">INDEX('Cleaned Data'!E3:E42,MATCH(B23,'Cleaned Data'!A3:A42,0))</f>
        <v>Dave</v>
      </c>
      <c r="D26" s="20" t="s">
        <v>205</v>
      </c>
      <c r="E26" s="20"/>
      <c r="F26" s="20"/>
      <c r="G26" s="20"/>
    </row>
    <row r="28" customFormat="false" ht="21.75" hidden="false" customHeight="true" outlineLevel="0" collapsed="false">
      <c r="A28" s="14" t="s">
        <v>206</v>
      </c>
      <c r="B28" s="14"/>
      <c r="C28" s="14"/>
      <c r="D28" s="14"/>
      <c r="E28" s="14"/>
      <c r="F28" s="14"/>
      <c r="G28" s="14"/>
    </row>
    <row r="29" customFormat="false" ht="15" hidden="false" customHeight="true" outlineLevel="0" collapsed="false">
      <c r="A29" s="26" t="s">
        <v>207</v>
      </c>
      <c r="B29" s="27" t="n">
        <f aca="false">'Cleaned Data'!B42</f>
        <v>45457</v>
      </c>
      <c r="D29" s="28"/>
      <c r="E29" s="28"/>
      <c r="F29" s="28"/>
      <c r="G29" s="28"/>
    </row>
    <row r="30" customFormat="false" ht="15" hidden="false" customHeight="true" outlineLevel="0" collapsed="false">
      <c r="A30" s="17" t="s">
        <v>208</v>
      </c>
      <c r="B30" s="21" t="n">
        <f aca="false">YEAR(B29)</f>
        <v>2024</v>
      </c>
      <c r="C30" s="29" t="n">
        <f aca="false">YEAR(B29)</f>
        <v>2024</v>
      </c>
      <c r="D30" s="20" t="s">
        <v>209</v>
      </c>
      <c r="E30" s="20"/>
      <c r="F30" s="20"/>
      <c r="G30" s="20"/>
    </row>
    <row r="31" customFormat="false" ht="15" hidden="false" customHeight="true" outlineLevel="0" collapsed="false">
      <c r="A31" s="17" t="s">
        <v>210</v>
      </c>
      <c r="B31" s="21" t="n">
        <f aca="false">MONTH(B29)</f>
        <v>6</v>
      </c>
      <c r="C31" s="29" t="n">
        <f aca="false">MONTH(B29)</f>
        <v>6</v>
      </c>
      <c r="D31" s="20" t="s">
        <v>211</v>
      </c>
      <c r="E31" s="20"/>
      <c r="F31" s="20"/>
      <c r="G31" s="20"/>
    </row>
    <row r="32" customFormat="false" ht="15" hidden="false" customHeight="true" outlineLevel="0" collapsed="false">
      <c r="A32" s="17" t="s">
        <v>212</v>
      </c>
      <c r="B32" s="21" t="str">
        <f aca="false">TEXT(B29,"MMMM DD, YYYY")</f>
        <v>June 14, 2024</v>
      </c>
      <c r="C32" s="25" t="str">
        <f aca="false">TEXT(B29,"MMMM DD, YYYY")</f>
        <v>June 14, 2024</v>
      </c>
      <c r="D32" s="20" t="s">
        <v>213</v>
      </c>
      <c r="E32" s="20"/>
      <c r="F32" s="20"/>
      <c r="G32" s="20"/>
    </row>
    <row r="33" customFormat="false" ht="15" hidden="false" customHeight="true" outlineLevel="0" collapsed="false">
      <c r="A33" s="17" t="s">
        <v>214</v>
      </c>
      <c r="B33" s="21" t="n">
        <f aca="false">B29-'Cleaned Data'!B3</f>
        <v>161</v>
      </c>
      <c r="C33" s="29" t="n">
        <f aca="false">B29-'Cleaned Data'!B3</f>
        <v>161</v>
      </c>
      <c r="D33" s="20" t="s">
        <v>215</v>
      </c>
      <c r="E33" s="20"/>
      <c r="F33" s="20"/>
      <c r="G33" s="20"/>
    </row>
    <row r="35" customFormat="false" ht="15" hidden="false" customHeight="true" outlineLevel="0" collapsed="false">
      <c r="A35" s="17" t="s">
        <v>216</v>
      </c>
      <c r="B35" s="21" t="str">
        <f aca="false">CONCATENATE('Cleaned Data'!E3," — ",'Cleaned Data'!F3)</f>
        <v>Alice — North</v>
      </c>
      <c r="C35" s="25" t="str">
        <f aca="false">CONCATENATE('Cleaned Data'!E3," — ",'Cleaned Data'!F3)</f>
        <v>Alice — North</v>
      </c>
      <c r="D35" s="20" t="s">
        <v>217</v>
      </c>
      <c r="E35" s="20"/>
      <c r="F35" s="20"/>
      <c r="G35" s="20"/>
    </row>
    <row r="36" customFormat="false" ht="15" hidden="false" customHeight="true" outlineLevel="0" collapsed="false">
      <c r="A36" s="17" t="s">
        <v>218</v>
      </c>
      <c r="B36" s="21" t="str">
        <f aca="false">UPPER('Cleaned Data'!H3)</f>
        <v>LAPTOP PRO</v>
      </c>
      <c r="C36" s="25" t="str">
        <f aca="false">UPPER('Cleaned Data'!H3)</f>
        <v>LAPTOP PRO</v>
      </c>
      <c r="D36" s="20" t="s">
        <v>219</v>
      </c>
      <c r="E36" s="20"/>
      <c r="F36" s="20"/>
      <c r="G36" s="20"/>
    </row>
    <row r="38" customFormat="false" ht="21.75" hidden="false" customHeight="true" outlineLevel="0" collapsed="false">
      <c r="A38" s="14" t="s">
        <v>220</v>
      </c>
      <c r="B38" s="14"/>
      <c r="C38" s="14"/>
      <c r="D38" s="14"/>
      <c r="E38" s="14"/>
      <c r="F38" s="14"/>
      <c r="G38" s="14"/>
    </row>
    <row r="39" customFormat="false" ht="15" hidden="false" customHeight="true" outlineLevel="0" collapsed="false">
      <c r="A39" s="17" t="s">
        <v>221</v>
      </c>
      <c r="B39" s="21" t="str">
        <f aca="false">IF('Cleaned Data'!N3&gt;2000,"High Value","Standard")</f>
        <v>High Value</v>
      </c>
      <c r="C39" s="25" t="str">
        <f aca="false">IF('Cleaned Data'!N3&gt;2000,"High Value","Standard")</f>
        <v>High Value</v>
      </c>
      <c r="D39" s="20" t="s">
        <v>222</v>
      </c>
      <c r="E39" s="20"/>
      <c r="F39" s="20"/>
      <c r="G39" s="20"/>
    </row>
    <row r="40" customFormat="false" ht="15" hidden="false" customHeight="true" outlineLevel="0" collapsed="false">
      <c r="A40" s="17" t="s">
        <v>223</v>
      </c>
      <c r="B40" s="21" t="str">
        <f aca="false">IF('Cleaned Data'!N3&gt;=2000,"Premium",IF('Cleaned Data'!N3&gt;=500,"Standard","Budget"))</f>
        <v>Premium</v>
      </c>
      <c r="C40" s="25" t="str">
        <f aca="false">IF('Cleaned Data'!N3&gt;=2000,"Premium",IF('Cleaned Data'!N3&gt;=500,"Standard","Budget"))</f>
        <v>Premium</v>
      </c>
      <c r="D40" s="20" t="s">
        <v>224</v>
      </c>
      <c r="E40" s="20"/>
      <c r="F40" s="20"/>
      <c r="G40" s="20"/>
    </row>
    <row r="41" customFormat="false" ht="15" hidden="false" customHeight="true" outlineLevel="0" collapsed="false">
      <c r="A41" s="17" t="s">
        <v>225</v>
      </c>
      <c r="B41" s="30" t="b">
        <f aca="false">AND('Cleaned Data'!G3="Electronics",'Cleaned Data'!O3="Business")</f>
        <v>1</v>
      </c>
      <c r="C41" s="31" t="b">
        <f aca="false">AND('Cleaned Data'!G3="Electronics",'Cleaned Data'!O3="Business")</f>
        <v>1</v>
      </c>
      <c r="D41" s="20" t="s">
        <v>226</v>
      </c>
      <c r="E41" s="20"/>
      <c r="F41" s="20"/>
      <c r="G41" s="20"/>
    </row>
    <row r="42" customFormat="false" ht="15" hidden="false" customHeight="true" outlineLevel="0" collapsed="false">
      <c r="A42" s="17" t="s">
        <v>227</v>
      </c>
      <c r="B42" s="21" t="n">
        <f aca="false">COUNTIF('Cleaned Data'!P3:P42,"Y")/COUNTA('Cleaned Data'!A3:A42)</f>
        <v>0.075</v>
      </c>
      <c r="C42" s="32" t="n">
        <f aca="false">COUNTIF('Cleaned Data'!P3:P42,"Y")/COUNTA('Cleaned Data'!A3:A42)</f>
        <v>0.075</v>
      </c>
      <c r="D42" s="20" t="s">
        <v>228</v>
      </c>
      <c r="E42" s="20"/>
      <c r="F42" s="20"/>
      <c r="G42" s="20"/>
    </row>
  </sheetData>
  <mergeCells count="34">
    <mergeCell ref="A1:G1"/>
    <mergeCell ref="A3:G3"/>
    <mergeCell ref="D4:G4"/>
    <mergeCell ref="D5:G5"/>
    <mergeCell ref="D6:G6"/>
    <mergeCell ref="D7:G7"/>
    <mergeCell ref="D8:G8"/>
    <mergeCell ref="D9:G9"/>
    <mergeCell ref="A11:G11"/>
    <mergeCell ref="D12:G12"/>
    <mergeCell ref="D13:G13"/>
    <mergeCell ref="D14:G14"/>
    <mergeCell ref="D15:G15"/>
    <mergeCell ref="D16:G16"/>
    <mergeCell ref="D17:G17"/>
    <mergeCell ref="D18:G18"/>
    <mergeCell ref="D19:G19"/>
    <mergeCell ref="A21:G21"/>
    <mergeCell ref="D24:G24"/>
    <mergeCell ref="D25:G25"/>
    <mergeCell ref="D26:G26"/>
    <mergeCell ref="A28:G28"/>
    <mergeCell ref="D29:G29"/>
    <mergeCell ref="D30:G30"/>
    <mergeCell ref="D31:G31"/>
    <mergeCell ref="D32:G32"/>
    <mergeCell ref="D33:G33"/>
    <mergeCell ref="D35:G35"/>
    <mergeCell ref="D36:G36"/>
    <mergeCell ref="A38:G38"/>
    <mergeCell ref="D39:G39"/>
    <mergeCell ref="D40:G40"/>
    <mergeCell ref="D41:G41"/>
    <mergeCell ref="D42:G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5" min="2" style="1" width="14"/>
    <col collapsed="false" customWidth="true" hidden="false" outlineLevel="0" max="6" min="6" style="1" width="3"/>
    <col collapsed="false" customWidth="true" hidden="false" outlineLevel="0" max="7" min="7" style="1" width="18"/>
    <col collapsed="false" customWidth="true" hidden="false" outlineLevel="0" max="9" min="8" style="1" width="14"/>
    <col collapsed="false" customWidth="true" hidden="false" outlineLevel="0" max="10" min="10" style="1" width="3"/>
    <col collapsed="false" customWidth="true" hidden="false" outlineLevel="0" max="11" min="11" style="1" width="18"/>
    <col collapsed="false" customWidth="true" hidden="false" outlineLevel="0" max="12" min="12" style="1" width="14"/>
  </cols>
  <sheetData>
    <row r="1" customFormat="false" ht="27.75" hidden="false" customHeight="true" outlineLevel="0" collapsed="false">
      <c r="A1" s="2" t="s">
        <v>229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customFormat="false" ht="21.75" hidden="false" customHeight="true" outlineLevel="0" collapsed="false">
      <c r="A3" s="33" t="s">
        <v>230</v>
      </c>
      <c r="B3" s="33"/>
      <c r="C3" s="33"/>
      <c r="D3" s="33"/>
      <c r="G3" s="33" t="s">
        <v>231</v>
      </c>
      <c r="H3" s="33"/>
      <c r="I3" s="33"/>
      <c r="J3" s="33"/>
    </row>
    <row r="4" customFormat="false" ht="15" hidden="false" customHeight="true" outlineLevel="0" collapsed="false">
      <c r="A4" s="34" t="s">
        <v>5</v>
      </c>
      <c r="B4" s="34" t="s">
        <v>232</v>
      </c>
      <c r="C4" s="34" t="s">
        <v>233</v>
      </c>
      <c r="D4" s="34" t="s">
        <v>234</v>
      </c>
      <c r="G4" s="34" t="s">
        <v>4</v>
      </c>
      <c r="H4" s="34" t="s">
        <v>235</v>
      </c>
      <c r="I4" s="34" t="s">
        <v>233</v>
      </c>
      <c r="J4" s="34" t="s">
        <v>236</v>
      </c>
    </row>
    <row r="5" customFormat="false" ht="15" hidden="false" customHeight="true" outlineLevel="0" collapsed="false">
      <c r="A5" s="16" t="s">
        <v>16</v>
      </c>
      <c r="B5" s="35" t="n">
        <f aca="false">SUMIF('Cleaned Data'!G3:G42,A5,'Cleaned Data'!L3:L42)</f>
        <v>44702.73</v>
      </c>
      <c r="C5" s="35" t="n">
        <f aca="false">SUMIF('Cleaned Data'!G3:G42,A5,'Cleaned Data'!N3:N42)</f>
        <v>42153.8666</v>
      </c>
      <c r="D5" s="36" t="n">
        <f aca="false">C5/SUM(C5:C7)</f>
        <v>0.735399008939845</v>
      </c>
      <c r="G5" s="16" t="s">
        <v>15</v>
      </c>
      <c r="H5" s="37" t="n">
        <f aca="false">COUNTIF('Cleaned Data'!F3:F42,G5)</f>
        <v>16</v>
      </c>
      <c r="I5" s="35" t="n">
        <f aca="false">SUMIF('Cleaned Data'!F3:F42,G5,'Cleaned Data'!N3:N42)</f>
        <v>19255.5892</v>
      </c>
      <c r="J5" s="35" t="n">
        <f aca="false">I5/H5</f>
        <v>1203.474325</v>
      </c>
    </row>
    <row r="6" customFormat="false" ht="15" hidden="false" customHeight="true" outlineLevel="0" collapsed="false">
      <c r="A6" s="16" t="s">
        <v>24</v>
      </c>
      <c r="B6" s="35" t="n">
        <f aca="false">SUMIF('Cleaned Data'!G3:G42,A6,'Cleaned Data'!L3:L42)</f>
        <v>14491.5</v>
      </c>
      <c r="C6" s="35" t="n">
        <f aca="false">SUMIF('Cleaned Data'!G3:G42,A6,'Cleaned Data'!N3:N42)</f>
        <v>13318.5</v>
      </c>
      <c r="D6" s="36" t="n">
        <f aca="false">C6/SUM(C5:C7)</f>
        <v>0.232349069979866</v>
      </c>
      <c r="G6" s="16" t="s">
        <v>23</v>
      </c>
      <c r="H6" s="37" t="n">
        <f aca="false">COUNTIF('Cleaned Data'!F3:F42,G6)</f>
        <v>8</v>
      </c>
      <c r="I6" s="35" t="n">
        <f aca="false">SUMIF('Cleaned Data'!F3:F42,G6,'Cleaned Data'!N3:N42)</f>
        <v>11345.924</v>
      </c>
      <c r="J6" s="35" t="n">
        <f aca="false">I6/H6</f>
        <v>1418.2405</v>
      </c>
    </row>
    <row r="7" customFormat="false" ht="15" hidden="false" customHeight="true" outlineLevel="0" collapsed="false">
      <c r="A7" s="16" t="s">
        <v>34</v>
      </c>
      <c r="B7" s="35" t="n">
        <f aca="false">SUMIF('Cleaned Data'!G3:G42,A7,'Cleaned Data'!L3:L42)</f>
        <v>1990.8</v>
      </c>
      <c r="C7" s="35" t="n">
        <f aca="false">SUMIF('Cleaned Data'!G3:G42,A7,'Cleaned Data'!N3:N42)</f>
        <v>1848.715</v>
      </c>
      <c r="D7" s="36" t="n">
        <f aca="false">C7/SUM(C5:C7)</f>
        <v>0.0322519210802889</v>
      </c>
      <c r="G7" s="16" t="s">
        <v>30</v>
      </c>
      <c r="H7" s="37" t="n">
        <f aca="false">COUNTIF('Cleaned Data'!F3:F42,G7)</f>
        <v>8</v>
      </c>
      <c r="I7" s="35" t="n">
        <f aca="false">SUMIF('Cleaned Data'!F3:F42,G7,'Cleaned Data'!N3:N42)</f>
        <v>12756.1954</v>
      </c>
      <c r="J7" s="35" t="n">
        <f aca="false">I7/H7</f>
        <v>1594.524425</v>
      </c>
    </row>
    <row r="8" customFormat="false" ht="15" hidden="false" customHeight="true" outlineLevel="0" collapsed="false">
      <c r="A8" s="38" t="s">
        <v>237</v>
      </c>
      <c r="B8" s="39" t="n">
        <f aca="false">SUM(B5:B7)</f>
        <v>61185.03</v>
      </c>
      <c r="C8" s="39" t="n">
        <f aca="false">SUM(C5:C7)</f>
        <v>57321.0816</v>
      </c>
      <c r="D8" s="40" t="n">
        <f aca="false">SUM(D5:D7)</f>
        <v>1</v>
      </c>
      <c r="G8" s="16" t="s">
        <v>39</v>
      </c>
      <c r="H8" s="37" t="n">
        <f aca="false">COUNTIF('Cleaned Data'!F3:F42,G8)</f>
        <v>8</v>
      </c>
      <c r="I8" s="35" t="n">
        <f aca="false">SUMIF('Cleaned Data'!F3:F42,G8,'Cleaned Data'!N3:N42)</f>
        <v>13963.373</v>
      </c>
      <c r="J8" s="35" t="n">
        <f aca="false">I8/H8</f>
        <v>1745.421625</v>
      </c>
    </row>
    <row r="9" customFormat="false" ht="15" hidden="false" customHeight="true" outlineLevel="0" collapsed="false">
      <c r="G9" s="38" t="s">
        <v>237</v>
      </c>
      <c r="H9" s="41" t="n">
        <f aca="false">SUM(H5:H8)</f>
        <v>40</v>
      </c>
      <c r="I9" s="39" t="n">
        <f aca="false">SUM(I5:I8)</f>
        <v>57321.0816</v>
      </c>
      <c r="J9" s="39" t="n">
        <f aca="false">I9/H9</f>
        <v>1433.02704</v>
      </c>
    </row>
    <row r="11" customFormat="false" ht="21.75" hidden="false" customHeight="true" outlineLevel="0" collapsed="false">
      <c r="A11" s="33" t="s">
        <v>238</v>
      </c>
      <c r="B11" s="33"/>
      <c r="C11" s="33"/>
      <c r="D11" s="33"/>
      <c r="E11" s="33"/>
      <c r="G11" s="33" t="s">
        <v>239</v>
      </c>
      <c r="H11" s="33"/>
      <c r="I11" s="33"/>
      <c r="J11" s="33"/>
      <c r="K11" s="33"/>
    </row>
    <row r="12" customFormat="false" ht="15" hidden="false" customHeight="true" outlineLevel="0" collapsed="false">
      <c r="A12" s="34" t="s">
        <v>240</v>
      </c>
      <c r="B12" s="34" t="s">
        <v>235</v>
      </c>
      <c r="C12" s="34" t="s">
        <v>232</v>
      </c>
      <c r="D12" s="34" t="s">
        <v>233</v>
      </c>
      <c r="E12" s="34" t="s">
        <v>241</v>
      </c>
      <c r="G12" s="34" t="s">
        <v>122</v>
      </c>
      <c r="H12" s="34" t="s">
        <v>235</v>
      </c>
      <c r="I12" s="34" t="s">
        <v>233</v>
      </c>
      <c r="J12" s="34" t="s">
        <v>242</v>
      </c>
      <c r="K12" s="34" t="s">
        <v>243</v>
      </c>
    </row>
    <row r="13" customFormat="false" ht="15" hidden="false" customHeight="true" outlineLevel="0" collapsed="false">
      <c r="A13" s="16" t="s">
        <v>14</v>
      </c>
      <c r="B13" s="37" t="n">
        <f aca="false">COUNTIF('Cleaned Data'!E3:E42,A13)</f>
        <v>9</v>
      </c>
      <c r="C13" s="35" t="n">
        <f aca="false">SUMIF('Cleaned Data'!E3:E42,A13,'Cleaned Data'!L3:L42)</f>
        <v>11210.48</v>
      </c>
      <c r="D13" s="35" t="n">
        <f aca="false">SUMIF('Cleaned Data'!E3:E42,A13,'Cleaned Data'!N3:N42)</f>
        <v>10938.406</v>
      </c>
      <c r="E13" s="35" t="n">
        <f aca="false">C13-D13</f>
        <v>272.073999999999</v>
      </c>
      <c r="G13" s="16" t="s">
        <v>128</v>
      </c>
      <c r="H13" s="37" t="n">
        <f aca="false">COUNTIF('Cleaned Data'!C3:C42,G13)</f>
        <v>7</v>
      </c>
      <c r="I13" s="35" t="n">
        <f aca="false">SUMIF('Cleaned Data'!C3:C42,G13,'Cleaned Data'!N3:N42)</f>
        <v>10801.206</v>
      </c>
      <c r="J13" s="16" t="s">
        <v>244</v>
      </c>
      <c r="K13" s="35" t="n">
        <f aca="false">I13</f>
        <v>10801.206</v>
      </c>
    </row>
    <row r="14" customFormat="false" ht="15" hidden="false" customHeight="true" outlineLevel="0" collapsed="false">
      <c r="A14" s="16" t="s">
        <v>22</v>
      </c>
      <c r="B14" s="37" t="n">
        <f aca="false">COUNTIF('Cleaned Data'!E3:E42,A14)</f>
        <v>8</v>
      </c>
      <c r="C14" s="35" t="n">
        <f aca="false">SUMIF('Cleaned Data'!E3:E42,A14,'Cleaned Data'!L3:L42)</f>
        <v>12092.07</v>
      </c>
      <c r="D14" s="35" t="n">
        <f aca="false">SUMIF('Cleaned Data'!E3:E42,A14,'Cleaned Data'!N3:N42)</f>
        <v>11345.924</v>
      </c>
      <c r="E14" s="35" t="n">
        <f aca="false">C14-D14</f>
        <v>746.145999999999</v>
      </c>
      <c r="G14" s="16" t="s">
        <v>130</v>
      </c>
      <c r="H14" s="37" t="n">
        <f aca="false">COUNTIF('Cleaned Data'!C3:C42,G14)</f>
        <v>7</v>
      </c>
      <c r="I14" s="35" t="n">
        <f aca="false">SUMIF('Cleaned Data'!C3:C42,G14,'Cleaned Data'!N3:N42)</f>
        <v>9944.284</v>
      </c>
      <c r="J14" s="36" t="n">
        <f aca="false">(I14-I13)/I13</f>
        <v>-0.079335770468594</v>
      </c>
      <c r="K14" s="35" t="n">
        <f aca="false">K13+I14</f>
        <v>20745.49</v>
      </c>
    </row>
    <row r="15" customFormat="false" ht="15" hidden="false" customHeight="true" outlineLevel="0" collapsed="false">
      <c r="A15" s="16" t="s">
        <v>29</v>
      </c>
      <c r="B15" s="37" t="n">
        <f aca="false">COUNTIF('Cleaned Data'!E3:E42,A15)</f>
        <v>8</v>
      </c>
      <c r="C15" s="35" t="n">
        <f aca="false">SUMIF('Cleaned Data'!E3:E42,A15,'Cleaned Data'!L3:L42)</f>
        <v>13544.05</v>
      </c>
      <c r="D15" s="35" t="n">
        <f aca="false">SUMIF('Cleaned Data'!E3:E42,A15,'Cleaned Data'!N3:N42)</f>
        <v>12756.1954</v>
      </c>
      <c r="E15" s="35" t="n">
        <f aca="false">C15-D15</f>
        <v>787.854600000001</v>
      </c>
      <c r="G15" s="16" t="s">
        <v>131</v>
      </c>
      <c r="H15" s="37" t="n">
        <f aca="false">COUNTIF('Cleaned Data'!C3:C42,G15)</f>
        <v>7</v>
      </c>
      <c r="I15" s="35" t="n">
        <f aca="false">SUMIF('Cleaned Data'!C3:C42,G15,'Cleaned Data'!N3:N42)</f>
        <v>8530.8439</v>
      </c>
      <c r="J15" s="36" t="n">
        <f aca="false">(I15-I14)/I14</f>
        <v>-0.142135934573067</v>
      </c>
      <c r="K15" s="35" t="n">
        <f aca="false">K14+I15</f>
        <v>29276.3339</v>
      </c>
    </row>
    <row r="16" customFormat="false" ht="15" hidden="false" customHeight="true" outlineLevel="0" collapsed="false">
      <c r="A16" s="16" t="s">
        <v>38</v>
      </c>
      <c r="B16" s="37" t="n">
        <f aca="false">COUNTIF('Cleaned Data'!E3:E42,A16)</f>
        <v>8</v>
      </c>
      <c r="C16" s="35" t="n">
        <f aca="false">SUMIF('Cleaned Data'!E3:E42,A16,'Cleaned Data'!L3:L42)</f>
        <v>15354.47</v>
      </c>
      <c r="D16" s="35" t="n">
        <f aca="false">SUMIF('Cleaned Data'!E3:E42,A16,'Cleaned Data'!N3:N42)</f>
        <v>13963.373</v>
      </c>
      <c r="E16" s="35" t="n">
        <f aca="false">C16-D16</f>
        <v>1391.097</v>
      </c>
      <c r="G16" s="16" t="s">
        <v>132</v>
      </c>
      <c r="H16" s="37" t="n">
        <f aca="false">COUNTIF('Cleaned Data'!C3:C42,G16)</f>
        <v>8</v>
      </c>
      <c r="I16" s="35" t="n">
        <f aca="false">SUMIF('Cleaned Data'!C3:C42,G16,'Cleaned Data'!N3:N42)</f>
        <v>11301.4952</v>
      </c>
      <c r="J16" s="36" t="n">
        <f aca="false">(I16-I15)/I15</f>
        <v>0.324780447570961</v>
      </c>
      <c r="K16" s="35" t="n">
        <f aca="false">K15+I16</f>
        <v>40577.8291</v>
      </c>
    </row>
    <row r="17" customFormat="false" ht="15" hidden="false" customHeight="true" outlineLevel="0" collapsed="false">
      <c r="A17" s="16" t="s">
        <v>46</v>
      </c>
      <c r="B17" s="37" t="n">
        <f aca="false">COUNTIF('Cleaned Data'!E3:E42,A17)</f>
        <v>7</v>
      </c>
      <c r="C17" s="35" t="n">
        <f aca="false">SUMIF('Cleaned Data'!E3:E42,A17,'Cleaned Data'!L3:L42)</f>
        <v>8983.96</v>
      </c>
      <c r="D17" s="35" t="n">
        <f aca="false">SUMIF('Cleaned Data'!E3:E42,A17,'Cleaned Data'!N3:N42)</f>
        <v>8317.1832</v>
      </c>
      <c r="E17" s="35" t="n">
        <f aca="false">C17-D17</f>
        <v>666.7768</v>
      </c>
      <c r="G17" s="16" t="s">
        <v>134</v>
      </c>
      <c r="H17" s="37" t="n">
        <f aca="false">COUNTIF('Cleaned Data'!C3:C42,G17)</f>
        <v>7</v>
      </c>
      <c r="I17" s="35" t="n">
        <f aca="false">SUMIF('Cleaned Data'!C3:C42,G17,'Cleaned Data'!N3:N42)</f>
        <v>9563.8425</v>
      </c>
      <c r="J17" s="36" t="n">
        <f aca="false">(I17-I16)/I16</f>
        <v>-0.15375423067914</v>
      </c>
      <c r="K17" s="35" t="n">
        <f aca="false">K16+I17</f>
        <v>50141.6716</v>
      </c>
    </row>
    <row r="18" customFormat="false" ht="15" hidden="false" customHeight="true" outlineLevel="0" collapsed="false">
      <c r="A18" s="38" t="s">
        <v>237</v>
      </c>
      <c r="B18" s="41" t="n">
        <f aca="false">SUM(B13:B17)</f>
        <v>40</v>
      </c>
      <c r="C18" s="39" t="n">
        <f aca="false">SUM(C13:C17)</f>
        <v>61185.03</v>
      </c>
      <c r="D18" s="39" t="n">
        <f aca="false">SUM(D13:D17)</f>
        <v>57321.0816</v>
      </c>
      <c r="E18" s="39" t="n">
        <f aca="false">SUM(E13:E17)</f>
        <v>3863.9484</v>
      </c>
      <c r="G18" s="16" t="s">
        <v>135</v>
      </c>
      <c r="H18" s="37" t="n">
        <f aca="false">COUNTIF('Cleaned Data'!C3:C42,G18)</f>
        <v>4</v>
      </c>
      <c r="I18" s="35" t="n">
        <f aca="false">SUMIF('Cleaned Data'!C3:C42,G18,'Cleaned Data'!N3:N42)</f>
        <v>7179.41</v>
      </c>
      <c r="J18" s="36" t="n">
        <f aca="false">(I18-I17)/I17</f>
        <v>-0.249317416090865</v>
      </c>
      <c r="K18" s="35" t="n">
        <f aca="false">K17+I18</f>
        <v>57321.0816</v>
      </c>
    </row>
    <row r="20" customFormat="false" ht="21.75" hidden="false" customHeight="true" outlineLevel="0" collapsed="false">
      <c r="A20" s="33" t="s">
        <v>245</v>
      </c>
      <c r="B20" s="33"/>
      <c r="C20" s="33"/>
      <c r="D20" s="33"/>
      <c r="E20" s="33"/>
    </row>
    <row r="21" customFormat="false" ht="15" hidden="false" customHeight="true" outlineLevel="0" collapsed="false">
      <c r="A21" s="34" t="s">
        <v>5</v>
      </c>
      <c r="B21" s="34" t="s">
        <v>246</v>
      </c>
      <c r="C21" s="34" t="s">
        <v>247</v>
      </c>
      <c r="D21" s="34" t="s">
        <v>248</v>
      </c>
      <c r="E21" s="34" t="s">
        <v>249</v>
      </c>
    </row>
    <row r="22" customFormat="false" ht="15" hidden="false" customHeight="true" outlineLevel="0" collapsed="false">
      <c r="A22" s="16" t="s">
        <v>16</v>
      </c>
      <c r="B22" s="35" t="n">
        <f aca="false">SUMIFS('Cleaned Data'!N3:N42,'Cleaned Data'!G3:G42,A22,'Cleaned Data'!O3:O42,"Business")</f>
        <v>33270.7526</v>
      </c>
      <c r="C22" s="35" t="n">
        <f aca="false">SUMIFS('Cleaned Data'!N3:N42,'Cleaned Data'!G3:G42,A22,'Cleaned Data'!O3:O42,"Retail")</f>
        <v>8883.114</v>
      </c>
      <c r="D22" s="35" t="n">
        <f aca="false">B22+C22</f>
        <v>42153.8666</v>
      </c>
      <c r="E22" s="36" t="n">
        <f aca="false">B22/D22</f>
        <v>0.789269295642739</v>
      </c>
    </row>
    <row r="23" customFormat="false" ht="15" hidden="false" customHeight="true" outlineLevel="0" collapsed="false">
      <c r="A23" s="16" t="s">
        <v>24</v>
      </c>
      <c r="B23" s="35" t="n">
        <f aca="false">SUMIFS('Cleaned Data'!N3:N42,'Cleaned Data'!G3:G42,A23,'Cleaned Data'!O3:O42,"Business")</f>
        <v>9614.1</v>
      </c>
      <c r="C23" s="35" t="n">
        <f aca="false">SUMIFS('Cleaned Data'!N3:N42,'Cleaned Data'!G3:G42,A23,'Cleaned Data'!O3:O42,"Retail")</f>
        <v>3704.4</v>
      </c>
      <c r="D23" s="35" t="n">
        <f aca="false">B23+C23</f>
        <v>13318.5</v>
      </c>
      <c r="E23" s="36" t="n">
        <f aca="false">B23/D23</f>
        <v>0.721860569883996</v>
      </c>
    </row>
    <row r="24" customFormat="false" ht="15" hidden="false" customHeight="true" outlineLevel="0" collapsed="false">
      <c r="A24" s="16" t="s">
        <v>34</v>
      </c>
      <c r="B24" s="35" t="n">
        <f aca="false">SUMIFS('Cleaned Data'!N3:N42,'Cleaned Data'!G3:G42,A24,'Cleaned Data'!O3:O42,"Business")</f>
        <v>11.5</v>
      </c>
      <c r="C24" s="35" t="n">
        <f aca="false">SUMIFS('Cleaned Data'!N3:N42,'Cleaned Data'!G3:G42,A24,'Cleaned Data'!O3:O42,"Retail")</f>
        <v>1837.215</v>
      </c>
      <c r="D24" s="35" t="n">
        <f aca="false">B24+C24</f>
        <v>1848.715</v>
      </c>
      <c r="E24" s="36" t="n">
        <f aca="false">B24/D24</f>
        <v>0.00622053696756937</v>
      </c>
    </row>
    <row r="25" customFormat="false" ht="15" hidden="false" customHeight="true" outlineLevel="0" collapsed="false">
      <c r="A25" s="38" t="s">
        <v>237</v>
      </c>
      <c r="B25" s="39" t="n">
        <f aca="false">SUM(B22:B24)</f>
        <v>42896.3526</v>
      </c>
      <c r="C25" s="39" t="n">
        <f aca="false">SUM(C22:C24)</f>
        <v>14424.729</v>
      </c>
      <c r="D25" s="39" t="n">
        <f aca="false">SUM(D22:D24)</f>
        <v>57321.0816</v>
      </c>
      <c r="E25" s="40" t="n">
        <f aca="false">B25/D25</f>
        <v>0.748352114137358</v>
      </c>
    </row>
  </sheetData>
  <mergeCells count="6">
    <mergeCell ref="A1:L1"/>
    <mergeCell ref="A3:D3"/>
    <mergeCell ref="G3:J3"/>
    <mergeCell ref="A11:E11"/>
    <mergeCell ref="G11:K11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P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7.75" hidden="false" customHeight="true" outlineLevel="0" collapsed="false">
      <c r="A1" s="2" t="s">
        <v>250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true" outlineLevel="0" collapsed="false">
      <c r="A2" s="42" t="s">
        <v>251</v>
      </c>
      <c r="I2" s="42" t="s">
        <v>252</v>
      </c>
    </row>
    <row r="21" customFormat="false" ht="15" hidden="false" customHeight="true" outlineLevel="0" collapsed="false">
      <c r="A21" s="42" t="s">
        <v>253</v>
      </c>
      <c r="I21" s="42" t="s">
        <v>254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6" min="2" style="1" width="22"/>
    <col collapsed="false" customWidth="true" hidden="false" outlineLevel="0" max="7" min="7" style="1" width="3"/>
    <col collapsed="false" customWidth="true" hidden="false" outlineLevel="0" max="9" min="8" style="1" width="22"/>
    <col collapsed="false" customWidth="true" hidden="false" outlineLevel="0" max="10" min="10" style="1" width="3"/>
  </cols>
  <sheetData>
    <row r="1" customFormat="false" ht="39.75" hidden="false" customHeight="true" outlineLevel="0" collapsed="false">
      <c r="A1" s="43" t="s">
        <v>255</v>
      </c>
      <c r="B1" s="43"/>
      <c r="C1" s="43"/>
      <c r="D1" s="43"/>
      <c r="E1" s="43"/>
      <c r="F1" s="43"/>
      <c r="G1" s="43"/>
      <c r="H1" s="43"/>
      <c r="I1" s="43"/>
      <c r="J1" s="43"/>
    </row>
    <row r="3" customFormat="false" ht="13.5" hidden="false" customHeight="true" outlineLevel="0" collapsed="false">
      <c r="B3" s="44" t="s">
        <v>256</v>
      </c>
      <c r="D3" s="45" t="s">
        <v>257</v>
      </c>
      <c r="F3" s="46" t="s">
        <v>258</v>
      </c>
      <c r="H3" s="47" t="s">
        <v>259</v>
      </c>
      <c r="J3" s="48" t="s">
        <v>260</v>
      </c>
    </row>
    <row r="4" customFormat="false" ht="39.75" hidden="false" customHeight="true" outlineLevel="0" collapsed="false">
      <c r="B4" s="49" t="n">
        <f aca="false">SUM('Cleaned Data'!N3:N42)</f>
        <v>57321.0816</v>
      </c>
      <c r="D4" s="50" t="n">
        <f aca="false">COUNTA('Cleaned Data'!A3:A42)</f>
        <v>40</v>
      </c>
      <c r="F4" s="51" t="n">
        <f aca="false">SUM('Cleaned Data'!N3:N42)/COUNTA('Cleaned Data'!A3:A42)</f>
        <v>1433.02704</v>
      </c>
      <c r="H4" s="52" t="n">
        <f aca="false">COUNTIF('Cleaned Data'!P3:P42,"Y")/COUNTA('Cleaned Data'!A3:A42)</f>
        <v>0.075</v>
      </c>
      <c r="J4" s="53" t="str">
        <f aca="false">INDEX('Pivot Analysis'!A5:A7,MATCH(MAX('Pivot Analysis'!C5:C7),'Pivot Analysis'!C5:C7,0))</f>
        <v>Electronics</v>
      </c>
    </row>
    <row r="5" customFormat="false" ht="24.75" hidden="false" customHeight="true" outlineLevel="0" collapsed="false"/>
    <row r="7" customFormat="false" ht="21.75" hidden="false" customHeight="true" outlineLevel="0" collapsed="false">
      <c r="B7" s="54" t="s">
        <v>261</v>
      </c>
      <c r="C7" s="54"/>
      <c r="D7" s="54"/>
      <c r="E7" s="54"/>
      <c r="F7" s="54"/>
      <c r="G7" s="54"/>
      <c r="H7" s="54"/>
      <c r="I7" s="54"/>
      <c r="J7" s="54"/>
    </row>
    <row r="8" customFormat="false" ht="15.75" hidden="false" customHeight="true" outlineLevel="0" collapsed="false">
      <c r="B8" s="55" t="s">
        <v>262</v>
      </c>
      <c r="C8" s="55"/>
      <c r="D8" s="55"/>
      <c r="E8" s="55"/>
      <c r="F8" s="55"/>
      <c r="G8" s="55"/>
      <c r="H8" s="55"/>
      <c r="I8" s="55"/>
      <c r="J8" s="55"/>
    </row>
    <row r="9" customFormat="false" ht="31.5" hidden="false" customHeight="true" outlineLevel="0" collapsed="false">
      <c r="B9" s="56" t="s">
        <v>263</v>
      </c>
      <c r="C9" s="56"/>
      <c r="D9" s="56"/>
      <c r="E9" s="56"/>
      <c r="F9" s="56"/>
      <c r="G9" s="56"/>
      <c r="H9" s="56"/>
      <c r="I9" s="56"/>
      <c r="J9" s="56"/>
    </row>
    <row r="10" customFormat="false" ht="15.75" hidden="false" customHeight="true" outlineLevel="0" collapsed="false">
      <c r="B10" s="55" t="s">
        <v>264</v>
      </c>
      <c r="C10" s="55"/>
      <c r="D10" s="55"/>
      <c r="E10" s="55"/>
      <c r="F10" s="55"/>
      <c r="G10" s="55"/>
      <c r="H10" s="55"/>
      <c r="I10" s="55"/>
      <c r="J10" s="55"/>
    </row>
    <row r="11" customFormat="false" ht="31.5" hidden="false" customHeight="true" outlineLevel="0" collapsed="false">
      <c r="B11" s="56" t="s">
        <v>265</v>
      </c>
      <c r="C11" s="56"/>
      <c r="D11" s="56"/>
      <c r="E11" s="56"/>
      <c r="F11" s="56"/>
      <c r="G11" s="56"/>
      <c r="H11" s="56"/>
      <c r="I11" s="56"/>
      <c r="J11" s="56"/>
    </row>
    <row r="12" customFormat="false" ht="15.75" hidden="false" customHeight="true" outlineLevel="0" collapsed="false">
      <c r="B12" s="55" t="s">
        <v>266</v>
      </c>
      <c r="C12" s="55"/>
      <c r="D12" s="55"/>
      <c r="E12" s="55"/>
      <c r="F12" s="55"/>
      <c r="G12" s="55"/>
      <c r="H12" s="55"/>
      <c r="I12" s="55"/>
      <c r="J12" s="55"/>
    </row>
    <row r="13" customFormat="false" ht="31.5" hidden="false" customHeight="true" outlineLevel="0" collapsed="false">
      <c r="B13" s="56" t="s">
        <v>267</v>
      </c>
      <c r="C13" s="56"/>
      <c r="D13" s="56"/>
      <c r="E13" s="56"/>
      <c r="F13" s="56"/>
      <c r="G13" s="56"/>
      <c r="H13" s="56"/>
      <c r="I13" s="56"/>
      <c r="J13" s="56"/>
    </row>
    <row r="14" customFormat="false" ht="15.75" hidden="false" customHeight="true" outlineLevel="0" collapsed="false">
      <c r="B14" s="55" t="s">
        <v>268</v>
      </c>
      <c r="C14" s="55"/>
      <c r="D14" s="55"/>
      <c r="E14" s="55"/>
      <c r="F14" s="55"/>
      <c r="G14" s="55"/>
      <c r="H14" s="55"/>
      <c r="I14" s="55"/>
      <c r="J14" s="55"/>
    </row>
    <row r="15" customFormat="false" ht="31.5" hidden="false" customHeight="true" outlineLevel="0" collapsed="false">
      <c r="B15" s="56" t="s">
        <v>269</v>
      </c>
      <c r="C15" s="56"/>
      <c r="D15" s="56"/>
      <c r="E15" s="56"/>
      <c r="F15" s="56"/>
      <c r="G15" s="56"/>
      <c r="H15" s="56"/>
      <c r="I15" s="56"/>
      <c r="J15" s="56"/>
    </row>
    <row r="16" customFormat="false" ht="15.75" hidden="false" customHeight="true" outlineLevel="0" collapsed="false">
      <c r="B16" s="55" t="s">
        <v>270</v>
      </c>
      <c r="C16" s="55"/>
      <c r="D16" s="55"/>
      <c r="E16" s="55"/>
      <c r="F16" s="55"/>
      <c r="G16" s="55"/>
      <c r="H16" s="55"/>
      <c r="I16" s="55"/>
      <c r="J16" s="55"/>
    </row>
    <row r="17" customFormat="false" ht="31.5" hidden="false" customHeight="true" outlineLevel="0" collapsed="false">
      <c r="B17" s="56" t="s">
        <v>271</v>
      </c>
      <c r="C17" s="56"/>
      <c r="D17" s="56"/>
      <c r="E17" s="56"/>
      <c r="F17" s="56"/>
      <c r="G17" s="56"/>
      <c r="H17" s="56"/>
      <c r="I17" s="56"/>
      <c r="J17" s="56"/>
    </row>
    <row r="18" customFormat="false" ht="15.75" hidden="false" customHeight="true" outlineLevel="0" collapsed="false">
      <c r="B18" s="55" t="s">
        <v>272</v>
      </c>
      <c r="C18" s="55"/>
      <c r="D18" s="55"/>
      <c r="E18" s="55"/>
      <c r="F18" s="55"/>
      <c r="G18" s="55"/>
      <c r="H18" s="55"/>
      <c r="I18" s="55"/>
      <c r="J18" s="55"/>
    </row>
    <row r="19" customFormat="false" ht="31.5" hidden="false" customHeight="true" outlineLevel="0" collapsed="false">
      <c r="B19" s="56" t="s">
        <v>273</v>
      </c>
      <c r="C19" s="56"/>
      <c r="D19" s="56"/>
      <c r="E19" s="56"/>
      <c r="F19" s="56"/>
      <c r="G19" s="56"/>
      <c r="H19" s="56"/>
      <c r="I19" s="56"/>
      <c r="J19" s="56"/>
    </row>
    <row r="20" customFormat="false" ht="15.75" hidden="false" customHeight="true" outlineLevel="0" collapsed="false">
      <c r="B20" s="55" t="s">
        <v>274</v>
      </c>
      <c r="C20" s="55"/>
      <c r="D20" s="55"/>
      <c r="E20" s="55"/>
      <c r="F20" s="55"/>
      <c r="G20" s="55"/>
      <c r="H20" s="55"/>
      <c r="I20" s="55"/>
      <c r="J20" s="55"/>
    </row>
    <row r="21" customFormat="false" ht="31.5" hidden="false" customHeight="true" outlineLevel="0" collapsed="false">
      <c r="B21" s="56" t="s">
        <v>275</v>
      </c>
      <c r="C21" s="56"/>
      <c r="D21" s="56"/>
      <c r="E21" s="56"/>
      <c r="F21" s="56"/>
      <c r="G21" s="56"/>
      <c r="H21" s="56"/>
      <c r="I21" s="56"/>
      <c r="J21" s="56"/>
    </row>
    <row r="22" customFormat="false" ht="15.75" hidden="false" customHeight="true" outlineLevel="0" collapsed="false">
      <c r="B22" s="55" t="s">
        <v>276</v>
      </c>
      <c r="C22" s="55"/>
      <c r="D22" s="55"/>
      <c r="E22" s="55"/>
      <c r="F22" s="55"/>
      <c r="G22" s="55"/>
      <c r="H22" s="55"/>
      <c r="I22" s="55"/>
      <c r="J22" s="55"/>
    </row>
    <row r="23" customFormat="false" ht="31.5" hidden="false" customHeight="true" outlineLevel="0" collapsed="false">
      <c r="B23" s="56" t="s">
        <v>277</v>
      </c>
      <c r="C23" s="56"/>
      <c r="D23" s="56"/>
      <c r="E23" s="56"/>
      <c r="F23" s="56"/>
      <c r="G23" s="56"/>
      <c r="H23" s="56"/>
      <c r="I23" s="56"/>
      <c r="J23" s="56"/>
    </row>
    <row r="25" customFormat="false" ht="21.75" hidden="false" customHeight="true" outlineLevel="0" collapsed="false">
      <c r="B25" s="57" t="s">
        <v>278</v>
      </c>
      <c r="C25" s="57"/>
      <c r="D25" s="57"/>
      <c r="E25" s="57"/>
      <c r="F25" s="57"/>
      <c r="G25" s="57"/>
      <c r="H25" s="57"/>
      <c r="I25" s="57"/>
      <c r="J25" s="57"/>
    </row>
  </sheetData>
  <mergeCells count="19">
    <mergeCell ref="A1:J1"/>
    <mergeCell ref="B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  <mergeCell ref="B19:J19"/>
    <mergeCell ref="B20:J20"/>
    <mergeCell ref="B21:J21"/>
    <mergeCell ref="B22:J22"/>
    <mergeCell ref="B23:J23"/>
    <mergeCell ref="B25:J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2026-06-12T00:29:42Z</dcterms:created>
  <dc:creator>openpyxl</dc:creator>
  <dc:description/>
  <dc:language>en-US</dc:language>
  <cp:lastModifiedBy/>
  <dcterms:modified xsi:type="dcterms:W3CDTF">2026-06-12T00:30:01Z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